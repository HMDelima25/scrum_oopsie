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tings" sheetId="2" state="visible" r:id="rId4"/>
    <sheet name="Roster" sheetId="3" state="visible" r:id="rId5"/>
    <sheet name="Midterm" sheetId="4" state="visible" r:id="rId6"/>
    <sheet name="Final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<sst xmlns="http://schemas.openxmlformats.org/spreadsheetml/2006/main" count="134" uniqueCount="106">
  <si>
    <t xml:space="preserve">HOPE, Inc. ERP Project - PR-Based Grading Sheet</t>
  </si>
  <si>
    <t xml:space="preserve">How to use</t>
  </si>
  <si>
    <t xml:space="preserve">1. Settings: review role thresholds and point weights (blue cells on yellow). Change them here only; all sheets update.</t>
  </si>
  <si>
    <t xml:space="preserve">2. Roster: enter each student's name, team, and role (role is a dropdown). Up to 40 students.</t>
  </si>
  <si>
    <t xml:space="preserve">3. Midterm: enter Sprint 1 valid PRs, reviews done, quality score, and demo score.</t>
  </si>
  <si>
    <t xml:space="preserve">4. Final: enter valid PRs for Sprints 2, 3, 4, total reviews, quality, demo, and peer evaluation scores.</t>
  </si>
  <si>
    <t xml:space="preserve">5. Grey/black cells are formulas - do not overwrite them.</t>
  </si>
  <si>
    <t xml:space="preserve">Colour legend</t>
  </si>
  <si>
    <t xml:space="preserve">Blue text on yellow = input cell. Black text = formula.</t>
  </si>
  <si>
    <t xml:space="preserve">Rules implemented</t>
  </si>
  <si>
    <t xml:space="preserve">- Only VALID PRs are entered: merged, linked to an issue, approved by a teammate, non-trivial.</t>
  </si>
  <si>
    <t xml:space="preserve">- Each approved review of a teammate's PR counts as a fraction of a PR (Settings), up to a maximum number of reviews.</t>
  </si>
  <si>
    <t xml:space="preserve">- PR score = MIN(credited PRs / role target, 1) x PR weight. Each student is graded against their own role's target.</t>
  </si>
  <si>
    <t xml:space="preserve">- If credited PRs are below the role MINIMUM, the term total is capped (Settings).</t>
  </si>
  <si>
    <t xml:space="preserve">- Final term: each sprint where a student is below the role's per-sprint minimum costs a fixed deduction (Settings).</t>
  </si>
  <si>
    <t xml:space="preserve">Assumptions (all editable in Settings)</t>
  </si>
  <si>
    <t xml:space="preserve">- Midterm weights: PR 60, quality 20, team demo 20 = 100 (review credit is folded into PR credit to avoid double counting).</t>
  </si>
  <si>
    <t xml:space="preserve">- Final weights: PR 60, quality 15, team demos 15, peer evaluation 10 = 100.</t>
  </si>
  <si>
    <t xml:space="preserve">- Cap when below minimum = 74; deduction = 3 points per sprint below the per-sprint minimum.</t>
  </si>
  <si>
    <t xml:space="preserve">- Review credit = 0.5 PR each, max 4 reviews credited (= up to 2 PR-equivalents). This is my reading of 'half a PR, up to 2'.</t>
  </si>
  <si>
    <t xml:space="preserve">- Role thresholds are starting points proposed in our discussion; recalibrate after Sprint 1.</t>
  </si>
  <si>
    <t xml:space="preserve">- Sample students and scores in the first 5 rows are EXAMPLES only. Clear the Roster names and the yellow input cells before real use.</t>
  </si>
  <si>
    <t xml:space="preserve">Settings - Role Thresholds and Grading Parameters</t>
  </si>
  <si>
    <t xml:space="preserve">Role thresholds (valid PRs)</t>
  </si>
  <si>
    <t xml:space="preserve">Role</t>
  </si>
  <si>
    <t xml:space="preserve">Midterm minimum</t>
  </si>
  <si>
    <t xml:space="preserve">Midterm target (full PR points)</t>
  </si>
  <si>
    <t xml:space="preserve">Final per-sprint minimum</t>
  </si>
  <si>
    <t xml:space="preserve">Final total minimum</t>
  </si>
  <si>
    <t xml:space="preserve">Final target (full PR points)</t>
  </si>
  <si>
    <t xml:space="preserve">Developer</t>
  </si>
  <si>
    <t xml:space="preserve">DB Admin</t>
  </si>
  <si>
    <t xml:space="preserve">Tester</t>
  </si>
  <si>
    <t xml:space="preserve">UI/UX Designer</t>
  </si>
  <si>
    <t xml:space="preserve">Scrum Master</t>
  </si>
  <si>
    <t xml:space="preserve">Grading parameters</t>
  </si>
  <si>
    <t xml:space="preserve">Parameter</t>
  </si>
  <si>
    <t xml:space="preserve">Value</t>
  </si>
  <si>
    <t xml:space="preserve">Note</t>
  </si>
  <si>
    <t xml:space="preserve">Midterm: PR score weight</t>
  </si>
  <si>
    <t xml:space="preserve">Max points from PR count (midterm)</t>
  </si>
  <si>
    <t xml:space="preserve">Midterm: quality max</t>
  </si>
  <si>
    <t xml:space="preserve">PR quality: issue linked, clear description, responds to review</t>
  </si>
  <si>
    <t xml:space="preserve">Midterm: team demo max</t>
  </si>
  <si>
    <t xml:space="preserve">Sprint 1 demo vs acceptance criteria</t>
  </si>
  <si>
    <t xml:space="preserve">Final: PR score weight</t>
  </si>
  <si>
    <t xml:space="preserve">Max points from PR count (Sprints 2-4)</t>
  </si>
  <si>
    <t xml:space="preserve">Final: quality max</t>
  </si>
  <si>
    <t xml:space="preserve">PR quality across Sprints 2-4</t>
  </si>
  <si>
    <t xml:space="preserve">Final: team demos max</t>
  </si>
  <si>
    <t xml:space="preserve">Demos of Sprints 2, 3, 4</t>
  </si>
  <si>
    <t xml:space="preserve">Final: peer evaluation max</t>
  </si>
  <si>
    <t xml:space="preserve">Teammate evaluation</t>
  </si>
  <si>
    <t xml:space="preserve">Cap if below role minimum</t>
  </si>
  <si>
    <t xml:space="preserve">Maximum term total if credited PRs &lt; role minimum</t>
  </si>
  <si>
    <t xml:space="preserve">Deduction per sprint below minimum</t>
  </si>
  <si>
    <t xml:space="preserve">Final term only, per sprint below per-sprint minimum</t>
  </si>
  <si>
    <t xml:space="preserve">Credit per review (PR equivalent)</t>
  </si>
  <si>
    <t xml:space="preserve">Each approved review of a teammate's PR</t>
  </si>
  <si>
    <t xml:space="preserve">Max reviews credited</t>
  </si>
  <si>
    <t xml:space="preserve">Reviews beyond this earn no extra credit</t>
  </si>
  <si>
    <t xml:space="preserve">Check: midterm weights total</t>
  </si>
  <si>
    <t xml:space="preserve">Should equal 100</t>
  </si>
  <si>
    <t xml:space="preserve">Check: final weights total</t>
  </si>
  <si>
    <t xml:space="preserve">Roster</t>
  </si>
  <si>
    <t xml:space="preserve">Enter student names, team, and role (dropdown). Sample rows below - replace with your class.</t>
  </si>
  <si>
    <t xml:space="preserve">#</t>
  </si>
  <si>
    <t xml:space="preserve">Student name</t>
  </si>
  <si>
    <t xml:space="preserve">Team</t>
  </si>
  <si>
    <t xml:space="preserve">Sample Student 1</t>
  </si>
  <si>
    <t xml:space="preserve">Team A</t>
  </si>
  <si>
    <t xml:space="preserve">Sample Student 2</t>
  </si>
  <si>
    <t xml:space="preserve">Sample Student 3</t>
  </si>
  <si>
    <t xml:space="preserve">Sample Student 4</t>
  </si>
  <si>
    <t xml:space="preserve">Sample Student 5</t>
  </si>
  <si>
    <t xml:space="preserve">Midterm Grading - Sprint 1</t>
  </si>
  <si>
    <t xml:space="preserve">Enter valid PRs, reviews, quality and demo scores in the yellow cells. Sample numbers in rows 5-9 are examples.</t>
  </si>
  <si>
    <t xml:space="preserve">Student</t>
  </si>
  <si>
    <t xml:space="preserve">Valid PRs (Sprint 1)</t>
  </si>
  <si>
    <t xml:space="preserve">Reviews done</t>
  </si>
  <si>
    <t xml:space="preserve">Credited PRs</t>
  </si>
  <si>
    <t xml:space="preserve">Role minimum</t>
  </si>
  <si>
    <t xml:space="preserve">Role target</t>
  </si>
  <si>
    <t xml:space="preserve">PR score</t>
  </si>
  <si>
    <t xml:space="preserve">Quality score</t>
  </si>
  <si>
    <t xml:space="preserve">Team demo score</t>
  </si>
  <si>
    <t xml:space="preserve">Raw total</t>
  </si>
  <si>
    <t xml:space="preserve">MIDTERM GRADE</t>
  </si>
  <si>
    <t xml:space="preserve">Status</t>
  </si>
  <si>
    <t xml:space="preserve">Final Term Grading - Sprints 2 to 4 combined</t>
  </si>
  <si>
    <t xml:space="preserve">Enter valid PRs per sprint, total reviews, quality, demo and peer scores in the yellow cells. Sample numbers in rows 5-9 are examples.</t>
  </si>
  <si>
    <t xml:space="preserve">Valid PRs Sprint 2</t>
  </si>
  <si>
    <t xml:space="preserve">Valid PRs Sprint 3</t>
  </si>
  <si>
    <t xml:space="preserve">Valid PRs Sprint 4</t>
  </si>
  <si>
    <t xml:space="preserve">Reviews done (S2-S4)</t>
  </si>
  <si>
    <t xml:space="preserve">Total valid PRs</t>
  </si>
  <si>
    <t xml:space="preserve">Per-sprint minimum</t>
  </si>
  <si>
    <t xml:space="preserve">Total minimum</t>
  </si>
  <si>
    <t xml:space="preserve">Sprints below minimum</t>
  </si>
  <si>
    <t xml:space="preserve">Deduction</t>
  </si>
  <si>
    <t xml:space="preserve">Team demos score</t>
  </si>
  <si>
    <t xml:space="preserve">Peer eval score</t>
  </si>
  <si>
    <t xml:space="preserve">FINAL GRADE</t>
  </si>
  <si>
    <t xml:space="preserve">Grade Summary</t>
  </si>
  <si>
    <t xml:space="preserve">Midterm grade</t>
  </si>
  <si>
    <t xml:space="preserve">Final grade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</si>
</sst>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6" min="4" style="0" width="22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4" t="s">
        <v>23</v>
      </c>
    </row>
    <row r="4" customFormat="false" ht="42" hidden="false" customHeight="tru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</row>
    <row r="5" customFormat="false" ht="15" hidden="false" customHeight="false" outlineLevel="0" collapsed="false">
      <c r="A5" s="6" t="s">
        <v>30</v>
      </c>
      <c r="B5" s="7" t="n">
        <v>5</v>
      </c>
      <c r="C5" s="7" t="n">
        <v>8</v>
      </c>
      <c r="D5" s="7" t="n">
        <v>5</v>
      </c>
      <c r="E5" s="8" t="n">
        <v>15</v>
      </c>
      <c r="F5" s="8" t="n">
        <v>24</v>
      </c>
    </row>
    <row r="6" customFormat="false" ht="15" hidden="false" customHeight="false" outlineLevel="0" collapsed="false">
      <c r="A6" s="6" t="s">
        <v>31</v>
      </c>
      <c r="B6" s="7" t="n">
        <v>4</v>
      </c>
      <c r="C6" s="7" t="n">
        <v>6</v>
      </c>
      <c r="D6" s="7" t="n">
        <v>4</v>
      </c>
      <c r="E6" s="8" t="n">
        <v>12</v>
      </c>
      <c r="F6" s="8" t="n">
        <v>18</v>
      </c>
    </row>
    <row r="7" customFormat="false" ht="15" hidden="false" customHeight="false" outlineLevel="0" collapsed="false">
      <c r="A7" s="6" t="s">
        <v>32</v>
      </c>
      <c r="B7" s="7" t="n">
        <v>4</v>
      </c>
      <c r="C7" s="7" t="n">
        <v>6</v>
      </c>
      <c r="D7" s="7" t="n">
        <v>4</v>
      </c>
      <c r="E7" s="8" t="n">
        <v>12</v>
      </c>
      <c r="F7" s="8" t="n">
        <v>18</v>
      </c>
    </row>
    <row r="8" customFormat="false" ht="15" hidden="false" customHeight="false" outlineLevel="0" collapsed="false">
      <c r="A8" s="6" t="s">
        <v>33</v>
      </c>
      <c r="B8" s="7" t="n">
        <v>3</v>
      </c>
      <c r="C8" s="7" t="n">
        <v>5</v>
      </c>
      <c r="D8" s="7" t="n">
        <v>3</v>
      </c>
      <c r="E8" s="8" t="n">
        <v>9</v>
      </c>
      <c r="F8" s="8" t="n">
        <v>15</v>
      </c>
    </row>
    <row r="9" customFormat="false" ht="15" hidden="false" customHeight="false" outlineLevel="0" collapsed="false">
      <c r="A9" s="6" t="s">
        <v>34</v>
      </c>
      <c r="B9" s="7" t="n">
        <v>3</v>
      </c>
      <c r="C9" s="7" t="n">
        <v>5</v>
      </c>
      <c r="D9" s="7" t="n">
        <v>3</v>
      </c>
      <c r="E9" s="8" t="n">
        <v>9</v>
      </c>
      <c r="F9" s="8" t="n">
        <v>15</v>
      </c>
    </row>
    <row r="11" customFormat="false" ht="15" hidden="false" customHeight="false" outlineLevel="0" collapsed="false">
      <c r="A11" s="4" t="s">
        <v>35</v>
      </c>
    </row>
    <row r="12" customFormat="false" ht="21.75" hidden="false" customHeight="true" outlineLevel="0" collapsed="false">
      <c r="A12" s="5" t="s">
        <v>36</v>
      </c>
      <c r="B12" s="5" t="s">
        <v>37</v>
      </c>
      <c r="C12" s="5" t="s">
        <v>38</v>
      </c>
    </row>
    <row r="13" customFormat="false" ht="15" hidden="false" customHeight="false" outlineLevel="0" collapsed="false">
      <c r="A13" s="9" t="s">
        <v>39</v>
      </c>
      <c r="B13" s="7" t="n">
        <v>60</v>
      </c>
      <c r="C13" s="9" t="s">
        <v>40</v>
      </c>
    </row>
    <row r="14" customFormat="false" ht="15" hidden="false" customHeight="false" outlineLevel="0" collapsed="false">
      <c r="A14" s="9" t="s">
        <v>41</v>
      </c>
      <c r="B14" s="7" t="n">
        <v>20</v>
      </c>
      <c r="C14" s="9" t="s">
        <v>42</v>
      </c>
    </row>
    <row r="15" customFormat="false" ht="15" hidden="false" customHeight="false" outlineLevel="0" collapsed="false">
      <c r="A15" s="9" t="s">
        <v>43</v>
      </c>
      <c r="B15" s="7" t="n">
        <v>20</v>
      </c>
      <c r="C15" s="9" t="s">
        <v>44</v>
      </c>
    </row>
    <row r="16" customFormat="false" ht="15" hidden="false" customHeight="false" outlineLevel="0" collapsed="false">
      <c r="A16" s="9" t="s">
        <v>45</v>
      </c>
      <c r="B16" s="7" t="n">
        <v>60</v>
      </c>
      <c r="C16" s="9" t="s">
        <v>46</v>
      </c>
    </row>
    <row r="17" customFormat="false" ht="15" hidden="false" customHeight="false" outlineLevel="0" collapsed="false">
      <c r="A17" s="9" t="s">
        <v>47</v>
      </c>
      <c r="B17" s="7" t="n">
        <v>15</v>
      </c>
      <c r="C17" s="9" t="s">
        <v>48</v>
      </c>
    </row>
    <row r="18" customFormat="false" ht="15" hidden="false" customHeight="false" outlineLevel="0" collapsed="false">
      <c r="A18" s="9" t="s">
        <v>49</v>
      </c>
      <c r="B18" s="7" t="n">
        <v>15</v>
      </c>
      <c r="C18" s="9" t="s">
        <v>50</v>
      </c>
    </row>
    <row r="19" customFormat="false" ht="15" hidden="false" customHeight="false" outlineLevel="0" collapsed="false">
      <c r="A19" s="9" t="s">
        <v>51</v>
      </c>
      <c r="B19" s="7" t="n">
        <v>10</v>
      </c>
      <c r="C19" s="9" t="s">
        <v>52</v>
      </c>
    </row>
    <row r="20" customFormat="false" ht="15" hidden="false" customHeight="false" outlineLevel="0" collapsed="false">
      <c r="A20" s="9" t="s">
        <v>53</v>
      </c>
      <c r="B20" s="7" t="n">
        <v>74</v>
      </c>
      <c r="C20" s="9" t="s">
        <v>54</v>
      </c>
    </row>
    <row r="21" customFormat="false" ht="15" hidden="false" customHeight="false" outlineLevel="0" collapsed="false">
      <c r="A21" s="9" t="s">
        <v>55</v>
      </c>
      <c r="B21" s="7" t="n">
        <v>3</v>
      </c>
      <c r="C21" s="9" t="s">
        <v>56</v>
      </c>
    </row>
    <row r="22" customFormat="false" ht="15" hidden="false" customHeight="false" outlineLevel="0" collapsed="false">
      <c r="A22" s="9" t="s">
        <v>57</v>
      </c>
      <c r="B22" s="7" t="n">
        <v>0.5</v>
      </c>
      <c r="C22" s="9" t="s">
        <v>58</v>
      </c>
    </row>
    <row r="23" customFormat="false" ht="15" hidden="false" customHeight="false" outlineLevel="0" collapsed="false">
      <c r="A23" s="9" t="s">
        <v>59</v>
      </c>
      <c r="B23" s="7" t="n">
        <v>4</v>
      </c>
      <c r="C23" s="9" t="s">
        <v>60</v>
      </c>
    </row>
    <row r="25" customFormat="false" ht="15" hidden="false" customHeight="false" outlineLevel="0" collapsed="false">
      <c r="A25" s="4" t="s">
        <v>61</v>
      </c>
      <c r="B25" s="4" t="n">
        <f aca="false">B13+B14+B15</f>
        <v>100</v>
      </c>
      <c r="C25" s="10" t="s">
        <v>62</v>
      </c>
    </row>
    <row r="26" customFormat="false" ht="15" hidden="false" customHeight="false" outlineLevel="0" collapsed="false">
      <c r="A26" s="4" t="s">
        <v>63</v>
      </c>
      <c r="B26" s="4" t="n">
        <f aca="false">B16+B17+B18+B19</f>
        <v>100</v>
      </c>
      <c r="C26" s="1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10" t="s">
        <v>65</v>
      </c>
    </row>
    <row r="4" customFormat="false" ht="21.75" hidden="false" customHeight="true" outlineLevel="0" collapsed="false">
      <c r="A4" s="5" t="s">
        <v>66</v>
      </c>
      <c r="B4" s="5" t="s">
        <v>67</v>
      </c>
      <c r="C4" s="5" t="s">
        <v>68</v>
      </c>
      <c r="D4" s="5" t="s">
        <v>24</v>
      </c>
    </row>
    <row r="5" customFormat="false" ht="15" hidden="false" customHeight="false" outlineLevel="0" collapsed="false">
      <c r="A5" s="11" t="n">
        <v>1</v>
      </c>
      <c r="B5" s="7" t="s">
        <v>69</v>
      </c>
      <c r="C5" s="7" t="s">
        <v>70</v>
      </c>
      <c r="D5" s="7" t="s">
        <v>30</v>
      </c>
    </row>
    <row r="6" customFormat="false" ht="15" hidden="false" customHeight="false" outlineLevel="0" collapsed="false">
      <c r="A6" s="11" t="n">
        <v>2</v>
      </c>
      <c r="B6" s="7" t="s">
        <v>71</v>
      </c>
      <c r="C6" s="7" t="s">
        <v>70</v>
      </c>
      <c r="D6" s="7" t="s">
        <v>31</v>
      </c>
    </row>
    <row r="7" customFormat="false" ht="15" hidden="false" customHeight="false" outlineLevel="0" collapsed="false">
      <c r="A7" s="11" t="n">
        <v>3</v>
      </c>
      <c r="B7" s="7" t="s">
        <v>72</v>
      </c>
      <c r="C7" s="7" t="s">
        <v>70</v>
      </c>
      <c r="D7" s="7" t="s">
        <v>32</v>
      </c>
    </row>
    <row r="8" customFormat="false" ht="15" hidden="false" customHeight="false" outlineLevel="0" collapsed="false">
      <c r="A8" s="11" t="n">
        <v>4</v>
      </c>
      <c r="B8" s="7" t="s">
        <v>73</v>
      </c>
      <c r="C8" s="7" t="s">
        <v>70</v>
      </c>
      <c r="D8" s="7" t="s">
        <v>33</v>
      </c>
    </row>
    <row r="9" customFormat="false" ht="15" hidden="false" customHeight="false" outlineLevel="0" collapsed="false">
      <c r="A9" s="11" t="n">
        <v>5</v>
      </c>
      <c r="B9" s="7" t="s">
        <v>74</v>
      </c>
      <c r="C9" s="7" t="s">
        <v>70</v>
      </c>
      <c r="D9" s="7" t="s">
        <v>34</v>
      </c>
    </row>
    <row r="10" customFormat="false" ht="15" hidden="false" customHeight="false" outlineLevel="0" collapsed="false">
      <c r="A10" s="11" t="n">
        <v>6</v>
      </c>
      <c r="B10" s="7"/>
      <c r="C10" s="7"/>
      <c r="D10" s="7"/>
    </row>
    <row r="11" customFormat="false" ht="15" hidden="false" customHeight="false" outlineLevel="0" collapsed="false">
      <c r="A11" s="11" t="n">
        <v>7</v>
      </c>
      <c r="B11" s="7"/>
      <c r="C11" s="7"/>
      <c r="D11" s="7"/>
    </row>
    <row r="12" customFormat="false" ht="15" hidden="false" customHeight="false" outlineLevel="0" collapsed="false">
      <c r="A12" s="11" t="n">
        <v>8</v>
      </c>
      <c r="B12" s="7"/>
      <c r="C12" s="7"/>
      <c r="D12" s="7"/>
    </row>
    <row r="13" customFormat="false" ht="15" hidden="false" customHeight="false" outlineLevel="0" collapsed="false">
      <c r="A13" s="11" t="n">
        <v>9</v>
      </c>
      <c r="B13" s="7"/>
      <c r="C13" s="7"/>
      <c r="D13" s="7"/>
    </row>
    <row r="14" customFormat="false" ht="15" hidden="false" customHeight="false" outlineLevel="0" collapsed="false">
      <c r="A14" s="11" t="n">
        <v>10</v>
      </c>
      <c r="B14" s="7"/>
      <c r="C14" s="7"/>
      <c r="D14" s="7"/>
    </row>
    <row r="15" customFormat="false" ht="15" hidden="false" customHeight="false" outlineLevel="0" collapsed="false">
      <c r="A15" s="11" t="n">
        <v>11</v>
      </c>
      <c r="B15" s="7"/>
      <c r="C15" s="7"/>
      <c r="D15" s="7"/>
    </row>
    <row r="16" customFormat="false" ht="15" hidden="false" customHeight="false" outlineLevel="0" collapsed="false">
      <c r="A16" s="11" t="n">
        <v>12</v>
      </c>
      <c r="B16" s="7"/>
      <c r="C16" s="7"/>
      <c r="D16" s="7"/>
    </row>
    <row r="17" customFormat="false" ht="15" hidden="false" customHeight="false" outlineLevel="0" collapsed="false">
      <c r="A17" s="11" t="n">
        <v>13</v>
      </c>
      <c r="B17" s="7"/>
      <c r="C17" s="7"/>
      <c r="D17" s="7"/>
    </row>
    <row r="18" customFormat="false" ht="15" hidden="false" customHeight="false" outlineLevel="0" collapsed="false">
      <c r="A18" s="11" t="n">
        <v>14</v>
      </c>
      <c r="B18" s="7"/>
      <c r="C18" s="7"/>
      <c r="D18" s="7"/>
    </row>
    <row r="19" customFormat="false" ht="15" hidden="false" customHeight="false" outlineLevel="0" collapsed="false">
      <c r="A19" s="11" t="n">
        <v>15</v>
      </c>
      <c r="B19" s="7"/>
      <c r="C19" s="7"/>
      <c r="D19" s="7"/>
    </row>
    <row r="20" customFormat="false" ht="15" hidden="false" customHeight="false" outlineLevel="0" collapsed="false">
      <c r="A20" s="11" t="n">
        <v>16</v>
      </c>
      <c r="B20" s="7"/>
      <c r="C20" s="7"/>
      <c r="D20" s="7"/>
    </row>
    <row r="21" customFormat="false" ht="15" hidden="false" customHeight="false" outlineLevel="0" collapsed="false">
      <c r="A21" s="11" t="n">
        <v>17</v>
      </c>
      <c r="B21" s="7"/>
      <c r="C21" s="7"/>
      <c r="D21" s="7"/>
    </row>
    <row r="22" customFormat="false" ht="15" hidden="false" customHeight="false" outlineLevel="0" collapsed="false">
      <c r="A22" s="11" t="n">
        <v>18</v>
      </c>
      <c r="B22" s="7"/>
      <c r="C22" s="7"/>
      <c r="D22" s="7"/>
    </row>
    <row r="23" customFormat="false" ht="15" hidden="false" customHeight="false" outlineLevel="0" collapsed="false">
      <c r="A23" s="11" t="n">
        <v>19</v>
      </c>
      <c r="B23" s="7"/>
      <c r="C23" s="7"/>
      <c r="D23" s="7"/>
    </row>
    <row r="24" customFormat="false" ht="15" hidden="false" customHeight="false" outlineLevel="0" collapsed="false">
      <c r="A24" s="11" t="n">
        <v>20</v>
      </c>
      <c r="B24" s="7"/>
      <c r="C24" s="7"/>
      <c r="D24" s="7"/>
    </row>
    <row r="25" customFormat="false" ht="15" hidden="false" customHeight="false" outlineLevel="0" collapsed="false">
      <c r="A25" s="11" t="n">
        <v>21</v>
      </c>
      <c r="B25" s="7"/>
      <c r="C25" s="7"/>
      <c r="D25" s="7"/>
    </row>
    <row r="26" customFormat="false" ht="15" hidden="false" customHeight="false" outlineLevel="0" collapsed="false">
      <c r="A26" s="11" t="n">
        <v>22</v>
      </c>
      <c r="B26" s="7"/>
      <c r="C26" s="7"/>
      <c r="D26" s="7"/>
    </row>
    <row r="27" customFormat="false" ht="15" hidden="false" customHeight="false" outlineLevel="0" collapsed="false">
      <c r="A27" s="11" t="n">
        <v>23</v>
      </c>
      <c r="B27" s="7"/>
      <c r="C27" s="7"/>
      <c r="D27" s="7"/>
    </row>
    <row r="28" customFormat="false" ht="15" hidden="false" customHeight="false" outlineLevel="0" collapsed="false">
      <c r="A28" s="11" t="n">
        <v>24</v>
      </c>
      <c r="B28" s="7"/>
      <c r="C28" s="7"/>
      <c r="D28" s="7"/>
    </row>
    <row r="29" customFormat="false" ht="15" hidden="false" customHeight="false" outlineLevel="0" collapsed="false">
      <c r="A29" s="11" t="n">
        <v>25</v>
      </c>
      <c r="B29" s="7"/>
      <c r="C29" s="7"/>
      <c r="D29" s="7"/>
    </row>
    <row r="30" customFormat="false" ht="15" hidden="false" customHeight="false" outlineLevel="0" collapsed="false">
      <c r="A30" s="11" t="n">
        <v>26</v>
      </c>
      <c r="B30" s="7"/>
      <c r="C30" s="7"/>
      <c r="D30" s="7"/>
    </row>
    <row r="31" customFormat="false" ht="15" hidden="false" customHeight="false" outlineLevel="0" collapsed="false">
      <c r="A31" s="11" t="n">
        <v>27</v>
      </c>
      <c r="B31" s="7"/>
      <c r="C31" s="7"/>
      <c r="D31" s="7"/>
    </row>
    <row r="32" customFormat="false" ht="15" hidden="false" customHeight="false" outlineLevel="0" collapsed="false">
      <c r="A32" s="11" t="n">
        <v>28</v>
      </c>
      <c r="B32" s="7"/>
      <c r="C32" s="7"/>
      <c r="D32" s="7"/>
    </row>
    <row r="33" customFormat="false" ht="15" hidden="false" customHeight="false" outlineLevel="0" collapsed="false">
      <c r="A33" s="11" t="n">
        <v>29</v>
      </c>
      <c r="B33" s="7"/>
      <c r="C33" s="7"/>
      <c r="D33" s="7"/>
    </row>
    <row r="34" customFormat="false" ht="15" hidden="false" customHeight="false" outlineLevel="0" collapsed="false">
      <c r="A34" s="11" t="n">
        <v>30</v>
      </c>
      <c r="B34" s="7"/>
      <c r="C34" s="7"/>
      <c r="D34" s="7"/>
    </row>
    <row r="35" customFormat="false" ht="15" hidden="false" customHeight="false" outlineLevel="0" collapsed="false">
      <c r="A35" s="11" t="n">
        <v>31</v>
      </c>
      <c r="B35" s="7"/>
      <c r="C35" s="7"/>
      <c r="D35" s="7"/>
    </row>
    <row r="36" customFormat="false" ht="15" hidden="false" customHeight="false" outlineLevel="0" collapsed="false">
      <c r="A36" s="11" t="n">
        <v>32</v>
      </c>
      <c r="B36" s="7"/>
      <c r="C36" s="7"/>
      <c r="D36" s="7"/>
    </row>
    <row r="37" customFormat="false" ht="15" hidden="false" customHeight="false" outlineLevel="0" collapsed="false">
      <c r="A37" s="11" t="n">
        <v>33</v>
      </c>
      <c r="B37" s="7"/>
      <c r="C37" s="7"/>
      <c r="D37" s="7"/>
    </row>
    <row r="38" customFormat="false" ht="15" hidden="false" customHeight="false" outlineLevel="0" collapsed="false">
      <c r="A38" s="11" t="n">
        <v>34</v>
      </c>
      <c r="B38" s="7"/>
      <c r="C38" s="7"/>
      <c r="D38" s="7"/>
    </row>
    <row r="39" customFormat="false" ht="15" hidden="false" customHeight="false" outlineLevel="0" collapsed="false">
      <c r="A39" s="11" t="n">
        <v>35</v>
      </c>
      <c r="B39" s="7"/>
      <c r="C39" s="7"/>
      <c r="D39" s="7"/>
    </row>
    <row r="40" customFormat="false" ht="15" hidden="false" customHeight="false" outlineLevel="0" collapsed="false">
      <c r="A40" s="11" t="n">
        <v>36</v>
      </c>
      <c r="B40" s="7"/>
      <c r="C40" s="7"/>
      <c r="D40" s="7"/>
    </row>
    <row r="41" customFormat="false" ht="15" hidden="false" customHeight="false" outlineLevel="0" collapsed="false">
      <c r="A41" s="11" t="n">
        <v>37</v>
      </c>
      <c r="B41" s="7"/>
      <c r="C41" s="7"/>
      <c r="D41" s="7"/>
    </row>
    <row r="42" customFormat="false" ht="15" hidden="false" customHeight="false" outlineLevel="0" collapsed="false">
      <c r="A42" s="11" t="n">
        <v>38</v>
      </c>
      <c r="B42" s="7"/>
      <c r="C42" s="7"/>
      <c r="D42" s="7"/>
    </row>
    <row r="43" customFormat="false" ht="15" hidden="false" customHeight="false" outlineLevel="0" collapsed="false">
      <c r="A43" s="11" t="n">
        <v>39</v>
      </c>
      <c r="B43" s="7"/>
      <c r="C43" s="7"/>
      <c r="D43" s="7"/>
    </row>
    <row r="44" customFormat="false" ht="15" hidden="false" customHeight="false" outlineLevel="0" collapsed="false">
      <c r="A44" s="11" t="n">
        <v>40</v>
      </c>
      <c r="B44" s="7"/>
      <c r="C44" s="7"/>
      <c r="D44" s="7"/>
    </row>
  </sheetData>
  <dataValidations count="1">
    <dataValidation allowBlank="true" errorStyle="stop" operator="between" showDropDown="false" showErrorMessage="false" showInputMessage="false" sqref="D5:D44" type="list">
      <formula1>Settings!$A$5:$A$9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13" min="6" style="0" width="10"/>
    <col collapsed="false" customWidth="true" hidden="false" outlineLevel="0" max="14" min="14" style="0" width="14"/>
    <col collapsed="false" customWidth="true" hidden="false" outlineLevel="0" max="15" min="15" style="0" width="24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10" t="s">
        <v>76</v>
      </c>
    </row>
    <row r="4" customFormat="false" ht="42" hidden="false" customHeight="true" outlineLevel="0" collapsed="false">
      <c r="A4" s="5" t="s">
        <v>66</v>
      </c>
      <c r="B4" s="5" t="s">
        <v>77</v>
      </c>
      <c r="C4" s="5" t="s">
        <v>68</v>
      </c>
      <c r="D4" s="5" t="s">
        <v>24</v>
      </c>
      <c r="E4" s="5" t="s">
        <v>78</v>
      </c>
      <c r="F4" s="5" t="s">
        <v>79</v>
      </c>
      <c r="G4" s="5" t="s">
        <v>80</v>
      </c>
      <c r="H4" s="5" t="s">
        <v>81</v>
      </c>
      <c r="I4" s="5" t="s">
        <v>82</v>
      </c>
      <c r="J4" s="5" t="s">
        <v>83</v>
      </c>
      <c r="K4" s="5" t="s">
        <v>84</v>
      </c>
      <c r="L4" s="5" t="s">
        <v>85</v>
      </c>
      <c r="M4" s="5" t="s">
        <v>86</v>
      </c>
      <c r="N4" s="5" t="s">
        <v>87</v>
      </c>
      <c r="O4" s="5" t="s">
        <v>88</v>
      </c>
    </row>
    <row r="5" customFormat="false" ht="15" hidden="false" customHeight="false" outlineLevel="0" collapsed="false">
      <c r="A5" s="9" t="n">
        <f aca="false">Roster!A5</f>
        <v>1</v>
      </c>
      <c r="B5" s="9" t="str">
        <f aca="false">IF(Roster!B5="","",Roster!B5)</f>
        <v>Sample Student 1</v>
      </c>
      <c r="C5" s="9" t="str">
        <f aca="false">IF($B5="","",Roster!C5)</f>
        <v>Team A</v>
      </c>
      <c r="D5" s="9" t="str">
        <f aca="false">IF($B5="","",Roster!D5)</f>
        <v>Developer</v>
      </c>
      <c r="E5" s="8" t="n">
        <v>7</v>
      </c>
      <c r="F5" s="8" t="n">
        <v>2</v>
      </c>
      <c r="G5" s="12" t="n">
        <f aca="false">IF($B5="","",E5+MIN(F5,Settings!$B$23)*Settings!$B$22)</f>
        <v>8</v>
      </c>
      <c r="H5" s="11" t="n">
        <f aca="false">IF($B5="","",IFERROR(INDEX(Settings!$B$5:$B$9,MATCH($D5,Settings!$A$5:$A$9,0)),0))</f>
        <v>5</v>
      </c>
      <c r="I5" s="11" t="n">
        <f aca="false">IF($B5="","",IFERROR(INDEX(Settings!$C$5:$C$9,MATCH($D5,Settings!$A$5:$A$9,0)),0))</f>
        <v>8</v>
      </c>
      <c r="J5" s="12" t="n">
        <f aca="false">IF($B5="","",IF(I5=0,0,ROUND(MIN(G5/I5,1)*Settings!$B$13,1)))</f>
        <v>60</v>
      </c>
      <c r="K5" s="8" t="n">
        <v>16</v>
      </c>
      <c r="L5" s="8" t="n">
        <v>17</v>
      </c>
      <c r="M5" s="12" t="n">
        <f aca="false">IF($B5="","",J5+MIN(K5,Settings!$B$14)+MIN(L5,Settings!$B$15))</f>
        <v>93</v>
      </c>
      <c r="N5" s="13" t="n">
        <f aca="false">IF($B5="","",IF(G5&lt;H5,MIN(M5,Settings!$B$20),M5))</f>
        <v>93</v>
      </c>
      <c r="O5" s="9" t="str">
        <f aca="false">IF($B5="","",IF($D5="","Assign role",IF(G5&lt;H5,"Below minimum - capped","OK")))</f>
        <v>OK</v>
      </c>
    </row>
    <row r="6" customFormat="false" ht="15" hidden="false" customHeight="false" outlineLevel="0" collapsed="false">
      <c r="A6" s="9" t="n">
        <f aca="false">Roster!A6</f>
        <v>2</v>
      </c>
      <c r="B6" s="9" t="str">
        <f aca="false">IF(Roster!B6="","",Roster!B6)</f>
        <v>Sample Student 2</v>
      </c>
      <c r="C6" s="9" t="str">
        <f aca="false">IF($B6="","",Roster!C6)</f>
        <v>Team A</v>
      </c>
      <c r="D6" s="9" t="str">
        <f aca="false">IF($B6="","",Roster!D6)</f>
        <v>DB Admin</v>
      </c>
      <c r="E6" s="8" t="n">
        <v>4</v>
      </c>
      <c r="F6" s="8" t="n">
        <v>1</v>
      </c>
      <c r="G6" s="12" t="n">
        <f aca="false">IF($B6="","",E6+MIN(F6,Settings!$B$23)*Settings!$B$22)</f>
        <v>4.5</v>
      </c>
      <c r="H6" s="11" t="n">
        <f aca="false">IF($B6="","",IFERROR(INDEX(Settings!$B$5:$B$9,MATCH($D6,Settings!$A$5:$A$9,0)),0))</f>
        <v>4</v>
      </c>
      <c r="I6" s="11" t="n">
        <f aca="false">IF($B6="","",IFERROR(INDEX(Settings!$C$5:$C$9,MATCH($D6,Settings!$A$5:$A$9,0)),0))</f>
        <v>6</v>
      </c>
      <c r="J6" s="12" t="n">
        <f aca="false">IF($B6="","",IF(I6=0,0,ROUND(MIN(G6/I6,1)*Settings!$B$13,1)))</f>
        <v>45</v>
      </c>
      <c r="K6" s="8" t="n">
        <v>15</v>
      </c>
      <c r="L6" s="8" t="n">
        <v>17</v>
      </c>
      <c r="M6" s="12" t="n">
        <f aca="false">IF($B6="","",J6+MIN(K6,Settings!$B$14)+MIN(L6,Settings!$B$15))</f>
        <v>77</v>
      </c>
      <c r="N6" s="13" t="n">
        <f aca="false">IF($B6="","",IF(G6&lt;H6,MIN(M6,Settings!$B$20),M6))</f>
        <v>77</v>
      </c>
      <c r="O6" s="9" t="str">
        <f aca="false">IF($B6="","",IF($D6="","Assign role",IF(G6&lt;H6,"Below minimum - capped","OK")))</f>
        <v>OK</v>
      </c>
    </row>
    <row r="7" customFormat="false" ht="15" hidden="false" customHeight="false" outlineLevel="0" collapsed="false">
      <c r="A7" s="9" t="n">
        <f aca="false">Roster!A7</f>
        <v>3</v>
      </c>
      <c r="B7" s="9" t="str">
        <f aca="false">IF(Roster!B7="","",Roster!B7)</f>
        <v>Sample Student 3</v>
      </c>
      <c r="C7" s="9" t="str">
        <f aca="false">IF($B7="","",Roster!C7)</f>
        <v>Team A</v>
      </c>
      <c r="D7" s="9" t="str">
        <f aca="false">IF($B7="","",Roster!D7)</f>
        <v>Tester</v>
      </c>
      <c r="E7" s="8" t="n">
        <v>3</v>
      </c>
      <c r="F7" s="8" t="n">
        <v>0</v>
      </c>
      <c r="G7" s="12" t="n">
        <f aca="false">IF($B7="","",E7+MIN(F7,Settings!$B$23)*Settings!$B$22)</f>
        <v>3</v>
      </c>
      <c r="H7" s="11" t="n">
        <f aca="false">IF($B7="","",IFERROR(INDEX(Settings!$B$5:$B$9,MATCH($D7,Settings!$A$5:$A$9,0)),0))</f>
        <v>4</v>
      </c>
      <c r="I7" s="11" t="n">
        <f aca="false">IF($B7="","",IFERROR(INDEX(Settings!$C$5:$C$9,MATCH($D7,Settings!$A$5:$A$9,0)),0))</f>
        <v>6</v>
      </c>
      <c r="J7" s="12" t="n">
        <f aca="false">IF($B7="","",IF(I7=0,0,ROUND(MIN(G7/I7,1)*Settings!$B$13,1)))</f>
        <v>30</v>
      </c>
      <c r="K7" s="8" t="n">
        <v>12</v>
      </c>
      <c r="L7" s="8" t="n">
        <v>17</v>
      </c>
      <c r="M7" s="12" t="n">
        <f aca="false">IF($B7="","",J7+MIN(K7,Settings!$B$14)+MIN(L7,Settings!$B$15))</f>
        <v>59</v>
      </c>
      <c r="N7" s="13" t="n">
        <f aca="false">IF($B7="","",IF(G7&lt;H7,MIN(M7,Settings!$B$20),M7))</f>
        <v>59</v>
      </c>
      <c r="O7" s="9" t="str">
        <f aca="false">IF($B7="","",IF($D7="","Assign role",IF(G7&lt;H7,"Below minimum - capped","OK")))</f>
        <v>Below minimum - capped</v>
      </c>
    </row>
    <row r="8" customFormat="false" ht="15" hidden="false" customHeight="false" outlineLevel="0" collapsed="false">
      <c r="A8" s="9" t="n">
        <f aca="false">Roster!A8</f>
        <v>4</v>
      </c>
      <c r="B8" s="9" t="str">
        <f aca="false">IF(Roster!B8="","",Roster!B8)</f>
        <v>Sample Student 4</v>
      </c>
      <c r="C8" s="9" t="str">
        <f aca="false">IF($B8="","",Roster!C8)</f>
        <v>Team A</v>
      </c>
      <c r="D8" s="9" t="str">
        <f aca="false">IF($B8="","",Roster!D8)</f>
        <v>UI/UX Designer</v>
      </c>
      <c r="E8" s="8" t="n">
        <v>5</v>
      </c>
      <c r="F8" s="8" t="n">
        <v>0</v>
      </c>
      <c r="G8" s="12" t="n">
        <f aca="false">IF($B8="","",E8+MIN(F8,Settings!$B$23)*Settings!$B$22)</f>
        <v>5</v>
      </c>
      <c r="H8" s="11" t="n">
        <f aca="false">IF($B8="","",IFERROR(INDEX(Settings!$B$5:$B$9,MATCH($D8,Settings!$A$5:$A$9,0)),0))</f>
        <v>3</v>
      </c>
      <c r="I8" s="11" t="n">
        <f aca="false">IF($B8="","",IFERROR(INDEX(Settings!$C$5:$C$9,MATCH($D8,Settings!$A$5:$A$9,0)),0))</f>
        <v>5</v>
      </c>
      <c r="J8" s="12" t="n">
        <f aca="false">IF($B8="","",IF(I8=0,0,ROUND(MIN(G8/I8,1)*Settings!$B$13,1)))</f>
        <v>60</v>
      </c>
      <c r="K8" s="8" t="n">
        <v>18</v>
      </c>
      <c r="L8" s="8" t="n">
        <v>17</v>
      </c>
      <c r="M8" s="12" t="n">
        <f aca="false">IF($B8="","",J8+MIN(K8,Settings!$B$14)+MIN(L8,Settings!$B$15))</f>
        <v>95</v>
      </c>
      <c r="N8" s="13" t="n">
        <f aca="false">IF($B8="","",IF(G8&lt;H8,MIN(M8,Settings!$B$20),M8))</f>
        <v>95</v>
      </c>
      <c r="O8" s="9" t="str">
        <f aca="false">IF($B8="","",IF($D8="","Assign role",IF(G8&lt;H8,"Below minimum - capped","OK")))</f>
        <v>OK</v>
      </c>
    </row>
    <row r="9" customFormat="false" ht="15" hidden="false" customHeight="false" outlineLevel="0" collapsed="false">
      <c r="A9" s="9" t="n">
        <f aca="false">Roster!A9</f>
        <v>5</v>
      </c>
      <c r="B9" s="9" t="str">
        <f aca="false">IF(Roster!B9="","",Roster!B9)</f>
        <v>Sample Student 5</v>
      </c>
      <c r="C9" s="9" t="str">
        <f aca="false">IF($B9="","",Roster!C9)</f>
        <v>Team A</v>
      </c>
      <c r="D9" s="9" t="str">
        <f aca="false">IF($B9="","",Roster!D9)</f>
        <v>Scrum Master</v>
      </c>
      <c r="E9" s="8" t="n">
        <v>5</v>
      </c>
      <c r="F9" s="8" t="n">
        <v>3</v>
      </c>
      <c r="G9" s="12" t="n">
        <f aca="false">IF($B9="","",E9+MIN(F9,Settings!$B$23)*Settings!$B$22)</f>
        <v>6.5</v>
      </c>
      <c r="H9" s="11" t="n">
        <f aca="false">IF($B9="","",IFERROR(INDEX(Settings!$B$5:$B$9,MATCH($D9,Settings!$A$5:$A$9,0)),0))</f>
        <v>3</v>
      </c>
      <c r="I9" s="11" t="n">
        <f aca="false">IF($B9="","",IFERROR(INDEX(Settings!$C$5:$C$9,MATCH($D9,Settings!$A$5:$A$9,0)),0))</f>
        <v>5</v>
      </c>
      <c r="J9" s="12" t="n">
        <f aca="false">IF($B9="","",IF(I9=0,0,ROUND(MIN(G9/I9,1)*Settings!$B$13,1)))</f>
        <v>60</v>
      </c>
      <c r="K9" s="8" t="n">
        <v>17</v>
      </c>
      <c r="L9" s="8" t="n">
        <v>17</v>
      </c>
      <c r="M9" s="12" t="n">
        <f aca="false">IF($B9="","",J9+MIN(K9,Settings!$B$14)+MIN(L9,Settings!$B$15))</f>
        <v>94</v>
      </c>
      <c r="N9" s="13" t="n">
        <f aca="false">IF($B9="","",IF(G9&lt;H9,MIN(M9,Settings!$B$20),M9))</f>
        <v>94</v>
      </c>
      <c r="O9" s="9" t="str">
        <f aca="false">IF($B9="","",IF($D9="","Assign role",IF(G9&lt;H9,"Below minimum - capped","OK")))</f>
        <v>OK</v>
      </c>
    </row>
    <row r="10" customFormat="false" ht="15" hidden="false" customHeight="false" outlineLevel="0" collapsed="false">
      <c r="A10" s="9" t="n">
        <f aca="false">Roster!A10</f>
        <v>6</v>
      </c>
      <c r="B10" s="9" t="str">
        <f aca="false">IF(Roster!B10="","",Roster!B10)</f>
        <v/>
      </c>
      <c r="C10" s="9" t="str">
        <f aca="false">IF($B10="","",Roster!C10)</f>
        <v/>
      </c>
      <c r="D10" s="9" t="str">
        <f aca="false">IF($B10="","",Roster!D10)</f>
        <v/>
      </c>
      <c r="E10" s="8"/>
      <c r="F10" s="8"/>
      <c r="G10" s="12" t="str">
        <f aca="false">IF($B10="","",E10+MIN(F10,Settings!$B$23)*Settings!$B$22)</f>
        <v/>
      </c>
      <c r="H10" s="11" t="str">
        <f aca="false">IF($B10="","",IFERROR(INDEX(Settings!$B$5:$B$9,MATCH($D10,Settings!$A$5:$A$9,0)),0))</f>
        <v/>
      </c>
      <c r="I10" s="11" t="str">
        <f aca="false">IF($B10="","",IFERROR(INDEX(Settings!$C$5:$C$9,MATCH($D10,Settings!$A$5:$A$9,0)),0))</f>
        <v/>
      </c>
      <c r="J10" s="12" t="str">
        <f aca="false">IF($B10="","",IF(I10=0,0,ROUND(MIN(G10/I10,1)*Settings!$B$13,1)))</f>
        <v/>
      </c>
      <c r="K10" s="8"/>
      <c r="L10" s="8"/>
      <c r="M10" s="12" t="str">
        <f aca="false">IF($B10="","",J10+MIN(K10,Settings!$B$14)+MIN(L10,Settings!$B$15))</f>
        <v/>
      </c>
      <c r="N10" s="13" t="str">
        <f aca="false">IF($B10="","",IF(G10&lt;H10,MIN(M10,Settings!$B$20),M10))</f>
        <v/>
      </c>
      <c r="O10" s="9" t="str">
        <f aca="false">IF($B10="","",IF($D10="","Assign role",IF(G10&lt;H10,"Below minimum - capped","OK")))</f>
        <v/>
      </c>
    </row>
    <row r="11" customFormat="false" ht="15" hidden="false" customHeight="false" outlineLevel="0" collapsed="false">
      <c r="A11" s="9" t="n">
        <f aca="false">Roster!A11</f>
        <v>7</v>
      </c>
      <c r="B11" s="9" t="str">
        <f aca="false">IF(Roster!B11="","",Roster!B11)</f>
        <v/>
      </c>
      <c r="C11" s="9" t="str">
        <f aca="false">IF($B11="","",Roster!C11)</f>
        <v/>
      </c>
      <c r="D11" s="9" t="str">
        <f aca="false">IF($B11="","",Roster!D11)</f>
        <v/>
      </c>
      <c r="E11" s="8"/>
      <c r="F11" s="8"/>
      <c r="G11" s="12" t="str">
        <f aca="false">IF($B11="","",E11+MIN(F11,Settings!$B$23)*Settings!$B$22)</f>
        <v/>
      </c>
      <c r="H11" s="11" t="str">
        <f aca="false">IF($B11="","",IFERROR(INDEX(Settings!$B$5:$B$9,MATCH($D11,Settings!$A$5:$A$9,0)),0))</f>
        <v/>
      </c>
      <c r="I11" s="11" t="str">
        <f aca="false">IF($B11="","",IFERROR(INDEX(Settings!$C$5:$C$9,MATCH($D11,Settings!$A$5:$A$9,0)),0))</f>
        <v/>
      </c>
      <c r="J11" s="12" t="str">
        <f aca="false">IF($B11="","",IF(I11=0,0,ROUND(MIN(G11/I11,1)*Settings!$B$13,1)))</f>
        <v/>
      </c>
      <c r="K11" s="8"/>
      <c r="L11" s="8"/>
      <c r="M11" s="12" t="str">
        <f aca="false">IF($B11="","",J11+MIN(K11,Settings!$B$14)+MIN(L11,Settings!$B$15))</f>
        <v/>
      </c>
      <c r="N11" s="13" t="str">
        <f aca="false">IF($B11="","",IF(G11&lt;H11,MIN(M11,Settings!$B$20),M11))</f>
        <v/>
      </c>
      <c r="O11" s="9" t="str">
        <f aca="false">IF($B11="","",IF($D11="","Assign role",IF(G11&lt;H11,"Below minimum - capped","OK")))</f>
        <v/>
      </c>
    </row>
    <row r="12" customFormat="false" ht="15" hidden="false" customHeight="false" outlineLevel="0" collapsed="false">
      <c r="A12" s="9" t="n">
        <f aca="false">Roster!A12</f>
        <v>8</v>
      </c>
      <c r="B12" s="9" t="str">
        <f aca="false">IF(Roster!B12="","",Roster!B12)</f>
        <v/>
      </c>
      <c r="C12" s="9" t="str">
        <f aca="false">IF($B12="","",Roster!C12)</f>
        <v/>
      </c>
      <c r="D12" s="9" t="str">
        <f aca="false">IF($B12="","",Roster!D12)</f>
        <v/>
      </c>
      <c r="E12" s="8"/>
      <c r="F12" s="8"/>
      <c r="G12" s="12" t="str">
        <f aca="false">IF($B12="","",E12+MIN(F12,Settings!$B$23)*Settings!$B$22)</f>
        <v/>
      </c>
      <c r="H12" s="11" t="str">
        <f aca="false">IF($B12="","",IFERROR(INDEX(Settings!$B$5:$B$9,MATCH($D12,Settings!$A$5:$A$9,0)),0))</f>
        <v/>
      </c>
      <c r="I12" s="11" t="str">
        <f aca="false">IF($B12="","",IFERROR(INDEX(Settings!$C$5:$C$9,MATCH($D12,Settings!$A$5:$A$9,0)),0))</f>
        <v/>
      </c>
      <c r="J12" s="12" t="str">
        <f aca="false">IF($B12="","",IF(I12=0,0,ROUND(MIN(G12/I12,1)*Settings!$B$13,1)))</f>
        <v/>
      </c>
      <c r="K12" s="8"/>
      <c r="L12" s="8"/>
      <c r="M12" s="12" t="str">
        <f aca="false">IF($B12="","",J12+MIN(K12,Settings!$B$14)+MIN(L12,Settings!$B$15))</f>
        <v/>
      </c>
      <c r="N12" s="13" t="str">
        <f aca="false">IF($B12="","",IF(G12&lt;H12,MIN(M12,Settings!$B$20),M12))</f>
        <v/>
      </c>
      <c r="O12" s="9" t="str">
        <f aca="false">IF($B12="","",IF($D12="","Assign role",IF(G12&lt;H12,"Below minimum - capped","OK")))</f>
        <v/>
      </c>
    </row>
    <row r="13" customFormat="false" ht="15" hidden="false" customHeight="false" outlineLevel="0" collapsed="false">
      <c r="A13" s="9" t="n">
        <f aca="false">Roster!A13</f>
        <v>9</v>
      </c>
      <c r="B13" s="9" t="str">
        <f aca="false">IF(Roster!B13="","",Roster!B13)</f>
        <v/>
      </c>
      <c r="C13" s="9" t="str">
        <f aca="false">IF($B13="","",Roster!C13)</f>
        <v/>
      </c>
      <c r="D13" s="9" t="str">
        <f aca="false">IF($B13="","",Roster!D13)</f>
        <v/>
      </c>
      <c r="E13" s="8"/>
      <c r="F13" s="8"/>
      <c r="G13" s="12" t="str">
        <f aca="false">IF($B13="","",E13+MIN(F13,Settings!$B$23)*Settings!$B$22)</f>
        <v/>
      </c>
      <c r="H13" s="11" t="str">
        <f aca="false">IF($B13="","",IFERROR(INDEX(Settings!$B$5:$B$9,MATCH($D13,Settings!$A$5:$A$9,0)),0))</f>
        <v/>
      </c>
      <c r="I13" s="11" t="str">
        <f aca="false">IF($B13="","",IFERROR(INDEX(Settings!$C$5:$C$9,MATCH($D13,Settings!$A$5:$A$9,0)),0))</f>
        <v/>
      </c>
      <c r="J13" s="12" t="str">
        <f aca="false">IF($B13="","",IF(I13=0,0,ROUND(MIN(G13/I13,1)*Settings!$B$13,1)))</f>
        <v/>
      </c>
      <c r="K13" s="8"/>
      <c r="L13" s="8"/>
      <c r="M13" s="12" t="str">
        <f aca="false">IF($B13="","",J13+MIN(K13,Settings!$B$14)+MIN(L13,Settings!$B$15))</f>
        <v/>
      </c>
      <c r="N13" s="13" t="str">
        <f aca="false">IF($B13="","",IF(G13&lt;H13,MIN(M13,Settings!$B$20),M13))</f>
        <v/>
      </c>
      <c r="O13" s="9" t="str">
        <f aca="false">IF($B13="","",IF($D13="","Assign role",IF(G13&lt;H13,"Below minimum - capped","OK")))</f>
        <v/>
      </c>
    </row>
    <row r="14" customFormat="false" ht="15" hidden="false" customHeight="false" outlineLevel="0" collapsed="false">
      <c r="A14" s="9" t="n">
        <f aca="false">Roster!A14</f>
        <v>10</v>
      </c>
      <c r="B14" s="9" t="str">
        <f aca="false">IF(Roster!B14="","",Roster!B14)</f>
        <v/>
      </c>
      <c r="C14" s="9" t="str">
        <f aca="false">IF($B14="","",Roster!C14)</f>
        <v/>
      </c>
      <c r="D14" s="9" t="str">
        <f aca="false">IF($B14="","",Roster!D14)</f>
        <v/>
      </c>
      <c r="E14" s="8"/>
      <c r="F14" s="8"/>
      <c r="G14" s="12" t="str">
        <f aca="false">IF($B14="","",E14+MIN(F14,Settings!$B$23)*Settings!$B$22)</f>
        <v/>
      </c>
      <c r="H14" s="11" t="str">
        <f aca="false">IF($B14="","",IFERROR(INDEX(Settings!$B$5:$B$9,MATCH($D14,Settings!$A$5:$A$9,0)),0))</f>
        <v/>
      </c>
      <c r="I14" s="11" t="str">
        <f aca="false">IF($B14="","",IFERROR(INDEX(Settings!$C$5:$C$9,MATCH($D14,Settings!$A$5:$A$9,0)),0))</f>
        <v/>
      </c>
      <c r="J14" s="12" t="str">
        <f aca="false">IF($B14="","",IF(I14=0,0,ROUND(MIN(G14/I14,1)*Settings!$B$13,1)))</f>
        <v/>
      </c>
      <c r="K14" s="8"/>
      <c r="L14" s="8"/>
      <c r="M14" s="12" t="str">
        <f aca="false">IF($B14="","",J14+MIN(K14,Settings!$B$14)+MIN(L14,Settings!$B$15))</f>
        <v/>
      </c>
      <c r="N14" s="13" t="str">
        <f aca="false">IF($B14="","",IF(G14&lt;H14,MIN(M14,Settings!$B$20),M14))</f>
        <v/>
      </c>
      <c r="O14" s="9" t="str">
        <f aca="false">IF($B14="","",IF($D14="","Assign role",IF(G14&lt;H14,"Below minimum - capped","OK")))</f>
        <v/>
      </c>
    </row>
    <row r="15" customFormat="false" ht="15" hidden="false" customHeight="false" outlineLevel="0" collapsed="false">
      <c r="A15" s="9" t="n">
        <f aca="false">Roster!A15</f>
        <v>11</v>
      </c>
      <c r="B15" s="9" t="str">
        <f aca="false">IF(Roster!B15="","",Roster!B15)</f>
        <v/>
      </c>
      <c r="C15" s="9" t="str">
        <f aca="false">IF($B15="","",Roster!C15)</f>
        <v/>
      </c>
      <c r="D15" s="9" t="str">
        <f aca="false">IF($B15="","",Roster!D15)</f>
        <v/>
      </c>
      <c r="E15" s="8"/>
      <c r="F15" s="8"/>
      <c r="G15" s="12" t="str">
        <f aca="false">IF($B15="","",E15+MIN(F15,Settings!$B$23)*Settings!$B$22)</f>
        <v/>
      </c>
      <c r="H15" s="11" t="str">
        <f aca="false">IF($B15="","",IFERROR(INDEX(Settings!$B$5:$B$9,MATCH($D15,Settings!$A$5:$A$9,0)),0))</f>
        <v/>
      </c>
      <c r="I15" s="11" t="str">
        <f aca="false">IF($B15="","",IFERROR(INDEX(Settings!$C$5:$C$9,MATCH($D15,Settings!$A$5:$A$9,0)),0))</f>
        <v/>
      </c>
      <c r="J15" s="12" t="str">
        <f aca="false">IF($B15="","",IF(I15=0,0,ROUND(MIN(G15/I15,1)*Settings!$B$13,1)))</f>
        <v/>
      </c>
      <c r="K15" s="8"/>
      <c r="L15" s="8"/>
      <c r="M15" s="12" t="str">
        <f aca="false">IF($B15="","",J15+MIN(K15,Settings!$B$14)+MIN(L15,Settings!$B$15))</f>
        <v/>
      </c>
      <c r="N15" s="13" t="str">
        <f aca="false">IF($B15="","",IF(G15&lt;H15,MIN(M15,Settings!$B$20),M15))</f>
        <v/>
      </c>
      <c r="O15" s="9" t="str">
        <f aca="false">IF($B15="","",IF($D15="","Assign role",IF(G15&lt;H15,"Below minimum - capped","OK")))</f>
        <v/>
      </c>
    </row>
    <row r="16" customFormat="false" ht="15" hidden="false" customHeight="false" outlineLevel="0" collapsed="false">
      <c r="A16" s="9" t="n">
        <f aca="false">Roster!A16</f>
        <v>12</v>
      </c>
      <c r="B16" s="9" t="str">
        <f aca="false">IF(Roster!B16="","",Roster!B16)</f>
        <v/>
      </c>
      <c r="C16" s="9" t="str">
        <f aca="false">IF($B16="","",Roster!C16)</f>
        <v/>
      </c>
      <c r="D16" s="9" t="str">
        <f aca="false">IF($B16="","",Roster!D16)</f>
        <v/>
      </c>
      <c r="E16" s="8"/>
      <c r="F16" s="8"/>
      <c r="G16" s="12" t="str">
        <f aca="false">IF($B16="","",E16+MIN(F16,Settings!$B$23)*Settings!$B$22)</f>
        <v/>
      </c>
      <c r="H16" s="11" t="str">
        <f aca="false">IF($B16="","",IFERROR(INDEX(Settings!$B$5:$B$9,MATCH($D16,Settings!$A$5:$A$9,0)),0))</f>
        <v/>
      </c>
      <c r="I16" s="11" t="str">
        <f aca="false">IF($B16="","",IFERROR(INDEX(Settings!$C$5:$C$9,MATCH($D16,Settings!$A$5:$A$9,0)),0))</f>
        <v/>
      </c>
      <c r="J16" s="12" t="str">
        <f aca="false">IF($B16="","",IF(I16=0,0,ROUND(MIN(G16/I16,1)*Settings!$B$13,1)))</f>
        <v/>
      </c>
      <c r="K16" s="8"/>
      <c r="L16" s="8"/>
      <c r="M16" s="12" t="str">
        <f aca="false">IF($B16="","",J16+MIN(K16,Settings!$B$14)+MIN(L16,Settings!$B$15))</f>
        <v/>
      </c>
      <c r="N16" s="13" t="str">
        <f aca="false">IF($B16="","",IF(G16&lt;H16,MIN(M16,Settings!$B$20),M16))</f>
        <v/>
      </c>
      <c r="O16" s="9" t="str">
        <f aca="false">IF($B16="","",IF($D16="","Assign role",IF(G16&lt;H16,"Below minimum - capped","OK")))</f>
        <v/>
      </c>
    </row>
    <row r="17" customFormat="false" ht="15" hidden="false" customHeight="false" outlineLevel="0" collapsed="false">
      <c r="A17" s="9" t="n">
        <f aca="false">Roster!A17</f>
        <v>13</v>
      </c>
      <c r="B17" s="9" t="str">
        <f aca="false">IF(Roster!B17="","",Roster!B17)</f>
        <v/>
      </c>
      <c r="C17" s="9" t="str">
        <f aca="false">IF($B17="","",Roster!C17)</f>
        <v/>
      </c>
      <c r="D17" s="9" t="str">
        <f aca="false">IF($B17="","",Roster!D17)</f>
        <v/>
      </c>
      <c r="E17" s="8"/>
      <c r="F17" s="8"/>
      <c r="G17" s="12" t="str">
        <f aca="false">IF($B17="","",E17+MIN(F17,Settings!$B$23)*Settings!$B$22)</f>
        <v/>
      </c>
      <c r="H17" s="11" t="str">
        <f aca="false">IF($B17="","",IFERROR(INDEX(Settings!$B$5:$B$9,MATCH($D17,Settings!$A$5:$A$9,0)),0))</f>
        <v/>
      </c>
      <c r="I17" s="11" t="str">
        <f aca="false">IF($B17="","",IFERROR(INDEX(Settings!$C$5:$C$9,MATCH($D17,Settings!$A$5:$A$9,0)),0))</f>
        <v/>
      </c>
      <c r="J17" s="12" t="str">
        <f aca="false">IF($B17="","",IF(I17=0,0,ROUND(MIN(G17/I17,1)*Settings!$B$13,1)))</f>
        <v/>
      </c>
      <c r="K17" s="8"/>
      <c r="L17" s="8"/>
      <c r="M17" s="12" t="str">
        <f aca="false">IF($B17="","",J17+MIN(K17,Settings!$B$14)+MIN(L17,Settings!$B$15))</f>
        <v/>
      </c>
      <c r="N17" s="13" t="str">
        <f aca="false">IF($B17="","",IF(G17&lt;H17,MIN(M17,Settings!$B$20),M17))</f>
        <v/>
      </c>
      <c r="O17" s="9" t="str">
        <f aca="false">IF($B17="","",IF($D17="","Assign role",IF(G17&lt;H17,"Below minimum - capped","OK")))</f>
        <v/>
      </c>
    </row>
    <row r="18" customFormat="false" ht="15" hidden="false" customHeight="false" outlineLevel="0" collapsed="false">
      <c r="A18" s="9" t="n">
        <f aca="false">Roster!A18</f>
        <v>14</v>
      </c>
      <c r="B18" s="9" t="str">
        <f aca="false">IF(Roster!B18="","",Roster!B18)</f>
        <v/>
      </c>
      <c r="C18" s="9" t="str">
        <f aca="false">IF($B18="","",Roster!C18)</f>
        <v/>
      </c>
      <c r="D18" s="9" t="str">
        <f aca="false">IF($B18="","",Roster!D18)</f>
        <v/>
      </c>
      <c r="E18" s="8"/>
      <c r="F18" s="8"/>
      <c r="G18" s="12" t="str">
        <f aca="false">IF($B18="","",E18+MIN(F18,Settings!$B$23)*Settings!$B$22)</f>
        <v/>
      </c>
      <c r="H18" s="11" t="str">
        <f aca="false">IF($B18="","",IFERROR(INDEX(Settings!$B$5:$B$9,MATCH($D18,Settings!$A$5:$A$9,0)),0))</f>
        <v/>
      </c>
      <c r="I18" s="11" t="str">
        <f aca="false">IF($B18="","",IFERROR(INDEX(Settings!$C$5:$C$9,MATCH($D18,Settings!$A$5:$A$9,0)),0))</f>
        <v/>
      </c>
      <c r="J18" s="12" t="str">
        <f aca="false">IF($B18="","",IF(I18=0,0,ROUND(MIN(G18/I18,1)*Settings!$B$13,1)))</f>
        <v/>
      </c>
      <c r="K18" s="8"/>
      <c r="L18" s="8"/>
      <c r="M18" s="12" t="str">
        <f aca="false">IF($B18="","",J18+MIN(K18,Settings!$B$14)+MIN(L18,Settings!$B$15))</f>
        <v/>
      </c>
      <c r="N18" s="13" t="str">
        <f aca="false">IF($B18="","",IF(G18&lt;H18,MIN(M18,Settings!$B$20),M18))</f>
        <v/>
      </c>
      <c r="O18" s="9" t="str">
        <f aca="false">IF($B18="","",IF($D18="","Assign role",IF(G18&lt;H18,"Below minimum - capped","OK")))</f>
        <v/>
      </c>
    </row>
    <row r="19" customFormat="false" ht="15" hidden="false" customHeight="false" outlineLevel="0" collapsed="false">
      <c r="A19" s="9" t="n">
        <f aca="false">Roster!A19</f>
        <v>15</v>
      </c>
      <c r="B19" s="9" t="str">
        <f aca="false">IF(Roster!B19="","",Roster!B19)</f>
        <v/>
      </c>
      <c r="C19" s="9" t="str">
        <f aca="false">IF($B19="","",Roster!C19)</f>
        <v/>
      </c>
      <c r="D19" s="9" t="str">
        <f aca="false">IF($B19="","",Roster!D19)</f>
        <v/>
      </c>
      <c r="E19" s="8"/>
      <c r="F19" s="8"/>
      <c r="G19" s="12" t="str">
        <f aca="false">IF($B19="","",E19+MIN(F19,Settings!$B$23)*Settings!$B$22)</f>
        <v/>
      </c>
      <c r="H19" s="11" t="str">
        <f aca="false">IF($B19="","",IFERROR(INDEX(Settings!$B$5:$B$9,MATCH($D19,Settings!$A$5:$A$9,0)),0))</f>
        <v/>
      </c>
      <c r="I19" s="11" t="str">
        <f aca="false">IF($B19="","",IFERROR(INDEX(Settings!$C$5:$C$9,MATCH($D19,Settings!$A$5:$A$9,0)),0))</f>
        <v/>
      </c>
      <c r="J19" s="12" t="str">
        <f aca="false">IF($B19="","",IF(I19=0,0,ROUND(MIN(G19/I19,1)*Settings!$B$13,1)))</f>
        <v/>
      </c>
      <c r="K19" s="8"/>
      <c r="L19" s="8"/>
      <c r="M19" s="12" t="str">
        <f aca="false">IF($B19="","",J19+MIN(K19,Settings!$B$14)+MIN(L19,Settings!$B$15))</f>
        <v/>
      </c>
      <c r="N19" s="13" t="str">
        <f aca="false">IF($B19="","",IF(G19&lt;H19,MIN(M19,Settings!$B$20),M19))</f>
        <v/>
      </c>
      <c r="O19" s="9" t="str">
        <f aca="false">IF($B19="","",IF($D19="","Assign role",IF(G19&lt;H19,"Below minimum - capped","OK")))</f>
        <v/>
      </c>
    </row>
    <row r="20" customFormat="false" ht="15" hidden="false" customHeight="false" outlineLevel="0" collapsed="false">
      <c r="A20" s="9" t="n">
        <f aca="false">Roster!A20</f>
        <v>16</v>
      </c>
      <c r="B20" s="9" t="str">
        <f aca="false">IF(Roster!B20="","",Roster!B20)</f>
        <v/>
      </c>
      <c r="C20" s="9" t="str">
        <f aca="false">IF($B20="","",Roster!C20)</f>
        <v/>
      </c>
      <c r="D20" s="9" t="str">
        <f aca="false">IF($B20="","",Roster!D20)</f>
        <v/>
      </c>
      <c r="E20" s="8"/>
      <c r="F20" s="8"/>
      <c r="G20" s="12" t="str">
        <f aca="false">IF($B20="","",E20+MIN(F20,Settings!$B$23)*Settings!$B$22)</f>
        <v/>
      </c>
      <c r="H20" s="11" t="str">
        <f aca="false">IF($B20="","",IFERROR(INDEX(Settings!$B$5:$B$9,MATCH($D20,Settings!$A$5:$A$9,0)),0))</f>
        <v/>
      </c>
      <c r="I20" s="11" t="str">
        <f aca="false">IF($B20="","",IFERROR(INDEX(Settings!$C$5:$C$9,MATCH($D20,Settings!$A$5:$A$9,0)),0))</f>
        <v/>
      </c>
      <c r="J20" s="12" t="str">
        <f aca="false">IF($B20="","",IF(I20=0,0,ROUND(MIN(G20/I20,1)*Settings!$B$13,1)))</f>
        <v/>
      </c>
      <c r="K20" s="8"/>
      <c r="L20" s="8"/>
      <c r="M20" s="12" t="str">
        <f aca="false">IF($B20="","",J20+MIN(K20,Settings!$B$14)+MIN(L20,Settings!$B$15))</f>
        <v/>
      </c>
      <c r="N20" s="13" t="str">
        <f aca="false">IF($B20="","",IF(G20&lt;H20,MIN(M20,Settings!$B$20),M20))</f>
        <v/>
      </c>
      <c r="O20" s="9" t="str">
        <f aca="false">IF($B20="","",IF($D20="","Assign role",IF(G20&lt;H20,"Below minimum - capped","OK")))</f>
        <v/>
      </c>
    </row>
    <row r="21" customFormat="false" ht="15" hidden="false" customHeight="false" outlineLevel="0" collapsed="false">
      <c r="A21" s="9" t="n">
        <f aca="false">Roster!A21</f>
        <v>17</v>
      </c>
      <c r="B21" s="9" t="str">
        <f aca="false">IF(Roster!B21="","",Roster!B21)</f>
        <v/>
      </c>
      <c r="C21" s="9" t="str">
        <f aca="false">IF($B21="","",Roster!C21)</f>
        <v/>
      </c>
      <c r="D21" s="9" t="str">
        <f aca="false">IF($B21="","",Roster!D21)</f>
        <v/>
      </c>
      <c r="E21" s="8"/>
      <c r="F21" s="8"/>
      <c r="G21" s="12" t="str">
        <f aca="false">IF($B21="","",E21+MIN(F21,Settings!$B$23)*Settings!$B$22)</f>
        <v/>
      </c>
      <c r="H21" s="11" t="str">
        <f aca="false">IF($B21="","",IFERROR(INDEX(Settings!$B$5:$B$9,MATCH($D21,Settings!$A$5:$A$9,0)),0))</f>
        <v/>
      </c>
      <c r="I21" s="11" t="str">
        <f aca="false">IF($B21="","",IFERROR(INDEX(Settings!$C$5:$C$9,MATCH($D21,Settings!$A$5:$A$9,0)),0))</f>
        <v/>
      </c>
      <c r="J21" s="12" t="str">
        <f aca="false">IF($B21="","",IF(I21=0,0,ROUND(MIN(G21/I21,1)*Settings!$B$13,1)))</f>
        <v/>
      </c>
      <c r="K21" s="8"/>
      <c r="L21" s="8"/>
      <c r="M21" s="12" t="str">
        <f aca="false">IF($B21="","",J21+MIN(K21,Settings!$B$14)+MIN(L21,Settings!$B$15))</f>
        <v/>
      </c>
      <c r="N21" s="13" t="str">
        <f aca="false">IF($B21="","",IF(G21&lt;H21,MIN(M21,Settings!$B$20),M21))</f>
        <v/>
      </c>
      <c r="O21" s="9" t="str">
        <f aca="false">IF($B21="","",IF($D21="","Assign role",IF(G21&lt;H21,"Below minimum - capped","OK")))</f>
        <v/>
      </c>
    </row>
    <row r="22" customFormat="false" ht="15" hidden="false" customHeight="false" outlineLevel="0" collapsed="false">
      <c r="A22" s="9" t="n">
        <f aca="false">Roster!A22</f>
        <v>18</v>
      </c>
      <c r="B22" s="9" t="str">
        <f aca="false">IF(Roster!B22="","",Roster!B22)</f>
        <v/>
      </c>
      <c r="C22" s="9" t="str">
        <f aca="false">IF($B22="","",Roster!C22)</f>
        <v/>
      </c>
      <c r="D22" s="9" t="str">
        <f aca="false">IF($B22="","",Roster!D22)</f>
        <v/>
      </c>
      <c r="E22" s="8"/>
      <c r="F22" s="8"/>
      <c r="G22" s="12" t="str">
        <f aca="false">IF($B22="","",E22+MIN(F22,Settings!$B$23)*Settings!$B$22)</f>
        <v/>
      </c>
      <c r="H22" s="11" t="str">
        <f aca="false">IF($B22="","",IFERROR(INDEX(Settings!$B$5:$B$9,MATCH($D22,Settings!$A$5:$A$9,0)),0))</f>
        <v/>
      </c>
      <c r="I22" s="11" t="str">
        <f aca="false">IF($B22="","",IFERROR(INDEX(Settings!$C$5:$C$9,MATCH($D22,Settings!$A$5:$A$9,0)),0))</f>
        <v/>
      </c>
      <c r="J22" s="12" t="str">
        <f aca="false">IF($B22="","",IF(I22=0,0,ROUND(MIN(G22/I22,1)*Settings!$B$13,1)))</f>
        <v/>
      </c>
      <c r="K22" s="8"/>
      <c r="L22" s="8"/>
      <c r="M22" s="12" t="str">
        <f aca="false">IF($B22="","",J22+MIN(K22,Settings!$B$14)+MIN(L22,Settings!$B$15))</f>
        <v/>
      </c>
      <c r="N22" s="13" t="str">
        <f aca="false">IF($B22="","",IF(G22&lt;H22,MIN(M22,Settings!$B$20),M22))</f>
        <v/>
      </c>
      <c r="O22" s="9" t="str">
        <f aca="false">IF($B22="","",IF($D22="","Assign role",IF(G22&lt;H22,"Below minimum - capped","OK")))</f>
        <v/>
      </c>
    </row>
    <row r="23" customFormat="false" ht="15" hidden="false" customHeight="false" outlineLevel="0" collapsed="false">
      <c r="A23" s="9" t="n">
        <f aca="false">Roster!A23</f>
        <v>19</v>
      </c>
      <c r="B23" s="9" t="str">
        <f aca="false">IF(Roster!B23="","",Roster!B23)</f>
        <v/>
      </c>
      <c r="C23" s="9" t="str">
        <f aca="false">IF($B23="","",Roster!C23)</f>
        <v/>
      </c>
      <c r="D23" s="9" t="str">
        <f aca="false">IF($B23="","",Roster!D23)</f>
        <v/>
      </c>
      <c r="E23" s="8"/>
      <c r="F23" s="8"/>
      <c r="G23" s="12" t="str">
        <f aca="false">IF($B23="","",E23+MIN(F23,Settings!$B$23)*Settings!$B$22)</f>
        <v/>
      </c>
      <c r="H23" s="11" t="str">
        <f aca="false">IF($B23="","",IFERROR(INDEX(Settings!$B$5:$B$9,MATCH($D23,Settings!$A$5:$A$9,0)),0))</f>
        <v/>
      </c>
      <c r="I23" s="11" t="str">
        <f aca="false">IF($B23="","",IFERROR(INDEX(Settings!$C$5:$C$9,MATCH($D23,Settings!$A$5:$A$9,0)),0))</f>
        <v/>
      </c>
      <c r="J23" s="12" t="str">
        <f aca="false">IF($B23="","",IF(I23=0,0,ROUND(MIN(G23/I23,1)*Settings!$B$13,1)))</f>
        <v/>
      </c>
      <c r="K23" s="8"/>
      <c r="L23" s="8"/>
      <c r="M23" s="12" t="str">
        <f aca="false">IF($B23="","",J23+MIN(K23,Settings!$B$14)+MIN(L23,Settings!$B$15))</f>
        <v/>
      </c>
      <c r="N23" s="13" t="str">
        <f aca="false">IF($B23="","",IF(G23&lt;H23,MIN(M23,Settings!$B$20),M23))</f>
        <v/>
      </c>
      <c r="O23" s="9" t="str">
        <f aca="false">IF($B23="","",IF($D23="","Assign role",IF(G23&lt;H23,"Below minimum - capped","OK")))</f>
        <v/>
      </c>
    </row>
    <row r="24" customFormat="false" ht="15" hidden="false" customHeight="false" outlineLevel="0" collapsed="false">
      <c r="A24" s="9" t="n">
        <f aca="false">Roster!A24</f>
        <v>20</v>
      </c>
      <c r="B24" s="9" t="str">
        <f aca="false">IF(Roster!B24="","",Roster!B24)</f>
        <v/>
      </c>
      <c r="C24" s="9" t="str">
        <f aca="false">IF($B24="","",Roster!C24)</f>
        <v/>
      </c>
      <c r="D24" s="9" t="str">
        <f aca="false">IF($B24="","",Roster!D24)</f>
        <v/>
      </c>
      <c r="E24" s="8"/>
      <c r="F24" s="8"/>
      <c r="G24" s="12" t="str">
        <f aca="false">IF($B24="","",E24+MIN(F24,Settings!$B$23)*Settings!$B$22)</f>
        <v/>
      </c>
      <c r="H24" s="11" t="str">
        <f aca="false">IF($B24="","",IFERROR(INDEX(Settings!$B$5:$B$9,MATCH($D24,Settings!$A$5:$A$9,0)),0))</f>
        <v/>
      </c>
      <c r="I24" s="11" t="str">
        <f aca="false">IF($B24="","",IFERROR(INDEX(Settings!$C$5:$C$9,MATCH($D24,Settings!$A$5:$A$9,0)),0))</f>
        <v/>
      </c>
      <c r="J24" s="12" t="str">
        <f aca="false">IF($B24="","",IF(I24=0,0,ROUND(MIN(G24/I24,1)*Settings!$B$13,1)))</f>
        <v/>
      </c>
      <c r="K24" s="8"/>
      <c r="L24" s="8"/>
      <c r="M24" s="12" t="str">
        <f aca="false">IF($B24="","",J24+MIN(K24,Settings!$B$14)+MIN(L24,Settings!$B$15))</f>
        <v/>
      </c>
      <c r="N24" s="13" t="str">
        <f aca="false">IF($B24="","",IF(G24&lt;H24,MIN(M24,Settings!$B$20),M24))</f>
        <v/>
      </c>
      <c r="O24" s="9" t="str">
        <f aca="false">IF($B24="","",IF($D24="","Assign role",IF(G24&lt;H24,"Below minimum - capped","OK")))</f>
        <v/>
      </c>
    </row>
    <row r="25" customFormat="false" ht="15" hidden="false" customHeight="false" outlineLevel="0" collapsed="false">
      <c r="A25" s="9" t="n">
        <f aca="false">Roster!A25</f>
        <v>21</v>
      </c>
      <c r="B25" s="9" t="str">
        <f aca="false">IF(Roster!B25="","",Roster!B25)</f>
        <v/>
      </c>
      <c r="C25" s="9" t="str">
        <f aca="false">IF($B25="","",Roster!C25)</f>
        <v/>
      </c>
      <c r="D25" s="9" t="str">
        <f aca="false">IF($B25="","",Roster!D25)</f>
        <v/>
      </c>
      <c r="E25" s="8"/>
      <c r="F25" s="8"/>
      <c r="G25" s="12" t="str">
        <f aca="false">IF($B25="","",E25+MIN(F25,Settings!$B$23)*Settings!$B$22)</f>
        <v/>
      </c>
      <c r="H25" s="11" t="str">
        <f aca="false">IF($B25="","",IFERROR(INDEX(Settings!$B$5:$B$9,MATCH($D25,Settings!$A$5:$A$9,0)),0))</f>
        <v/>
      </c>
      <c r="I25" s="11" t="str">
        <f aca="false">IF($B25="","",IFERROR(INDEX(Settings!$C$5:$C$9,MATCH($D25,Settings!$A$5:$A$9,0)),0))</f>
        <v/>
      </c>
      <c r="J25" s="12" t="str">
        <f aca="false">IF($B25="","",IF(I25=0,0,ROUND(MIN(G25/I25,1)*Settings!$B$13,1)))</f>
        <v/>
      </c>
      <c r="K25" s="8"/>
      <c r="L25" s="8"/>
      <c r="M25" s="12" t="str">
        <f aca="false">IF($B25="","",J25+MIN(K25,Settings!$B$14)+MIN(L25,Settings!$B$15))</f>
        <v/>
      </c>
      <c r="N25" s="13" t="str">
        <f aca="false">IF($B25="","",IF(G25&lt;H25,MIN(M25,Settings!$B$20),M25))</f>
        <v/>
      </c>
      <c r="O25" s="9" t="str">
        <f aca="false">IF($B25="","",IF($D25="","Assign role",IF(G25&lt;H25,"Below minimum - capped","OK")))</f>
        <v/>
      </c>
    </row>
    <row r="26" customFormat="false" ht="15" hidden="false" customHeight="false" outlineLevel="0" collapsed="false">
      <c r="A26" s="9" t="n">
        <f aca="false">Roster!A26</f>
        <v>22</v>
      </c>
      <c r="B26" s="9" t="str">
        <f aca="false">IF(Roster!B26="","",Roster!B26)</f>
        <v/>
      </c>
      <c r="C26" s="9" t="str">
        <f aca="false">IF($B26="","",Roster!C26)</f>
        <v/>
      </c>
      <c r="D26" s="9" t="str">
        <f aca="false">IF($B26="","",Roster!D26)</f>
        <v/>
      </c>
      <c r="E26" s="8"/>
      <c r="F26" s="8"/>
      <c r="G26" s="12" t="str">
        <f aca="false">IF($B26="","",E26+MIN(F26,Settings!$B$23)*Settings!$B$22)</f>
        <v/>
      </c>
      <c r="H26" s="11" t="str">
        <f aca="false">IF($B26="","",IFERROR(INDEX(Settings!$B$5:$B$9,MATCH($D26,Settings!$A$5:$A$9,0)),0))</f>
        <v/>
      </c>
      <c r="I26" s="11" t="str">
        <f aca="false">IF($B26="","",IFERROR(INDEX(Settings!$C$5:$C$9,MATCH($D26,Settings!$A$5:$A$9,0)),0))</f>
        <v/>
      </c>
      <c r="J26" s="12" t="str">
        <f aca="false">IF($B26="","",IF(I26=0,0,ROUND(MIN(G26/I26,1)*Settings!$B$13,1)))</f>
        <v/>
      </c>
      <c r="K26" s="8"/>
      <c r="L26" s="8"/>
      <c r="M26" s="12" t="str">
        <f aca="false">IF($B26="","",J26+MIN(K26,Settings!$B$14)+MIN(L26,Settings!$B$15))</f>
        <v/>
      </c>
      <c r="N26" s="13" t="str">
        <f aca="false">IF($B26="","",IF(G26&lt;H26,MIN(M26,Settings!$B$20),M26))</f>
        <v/>
      </c>
      <c r="O26" s="9" t="str">
        <f aca="false">IF($B26="","",IF($D26="","Assign role",IF(G26&lt;H26,"Below minimum - capped","OK")))</f>
        <v/>
      </c>
    </row>
    <row r="27" customFormat="false" ht="15" hidden="false" customHeight="false" outlineLevel="0" collapsed="false">
      <c r="A27" s="9" t="n">
        <f aca="false">Roster!A27</f>
        <v>23</v>
      </c>
      <c r="B27" s="9" t="str">
        <f aca="false">IF(Roster!B27="","",Roster!B27)</f>
        <v/>
      </c>
      <c r="C27" s="9" t="str">
        <f aca="false">IF($B27="","",Roster!C27)</f>
        <v/>
      </c>
      <c r="D27" s="9" t="str">
        <f aca="false">IF($B27="","",Roster!D27)</f>
        <v/>
      </c>
      <c r="E27" s="8"/>
      <c r="F27" s="8"/>
      <c r="G27" s="12" t="str">
        <f aca="false">IF($B27="","",E27+MIN(F27,Settings!$B$23)*Settings!$B$22)</f>
        <v/>
      </c>
      <c r="H27" s="11" t="str">
        <f aca="false">IF($B27="","",IFERROR(INDEX(Settings!$B$5:$B$9,MATCH($D27,Settings!$A$5:$A$9,0)),0))</f>
        <v/>
      </c>
      <c r="I27" s="11" t="str">
        <f aca="false">IF($B27="","",IFERROR(INDEX(Settings!$C$5:$C$9,MATCH($D27,Settings!$A$5:$A$9,0)),0))</f>
        <v/>
      </c>
      <c r="J27" s="12" t="str">
        <f aca="false">IF($B27="","",IF(I27=0,0,ROUND(MIN(G27/I27,1)*Settings!$B$13,1)))</f>
        <v/>
      </c>
      <c r="K27" s="8"/>
      <c r="L27" s="8"/>
      <c r="M27" s="12" t="str">
        <f aca="false">IF($B27="","",J27+MIN(K27,Settings!$B$14)+MIN(L27,Settings!$B$15))</f>
        <v/>
      </c>
      <c r="N27" s="13" t="str">
        <f aca="false">IF($B27="","",IF(G27&lt;H27,MIN(M27,Settings!$B$20),M27))</f>
        <v/>
      </c>
      <c r="O27" s="9" t="str">
        <f aca="false">IF($B27="","",IF($D27="","Assign role",IF(G27&lt;H27,"Below minimum - capped","OK")))</f>
        <v/>
      </c>
    </row>
    <row r="28" customFormat="false" ht="15" hidden="false" customHeight="false" outlineLevel="0" collapsed="false">
      <c r="A28" s="9" t="n">
        <f aca="false">Roster!A28</f>
        <v>24</v>
      </c>
      <c r="B28" s="9" t="str">
        <f aca="false">IF(Roster!B28="","",Roster!B28)</f>
        <v/>
      </c>
      <c r="C28" s="9" t="str">
        <f aca="false">IF($B28="","",Roster!C28)</f>
        <v/>
      </c>
      <c r="D28" s="9" t="str">
        <f aca="false">IF($B28="","",Roster!D28)</f>
        <v/>
      </c>
      <c r="E28" s="8"/>
      <c r="F28" s="8"/>
      <c r="G28" s="12" t="str">
        <f aca="false">IF($B28="","",E28+MIN(F28,Settings!$B$23)*Settings!$B$22)</f>
        <v/>
      </c>
      <c r="H28" s="11" t="str">
        <f aca="false">IF($B28="","",IFERROR(INDEX(Settings!$B$5:$B$9,MATCH($D28,Settings!$A$5:$A$9,0)),0))</f>
        <v/>
      </c>
      <c r="I28" s="11" t="str">
        <f aca="false">IF($B28="","",IFERROR(INDEX(Settings!$C$5:$C$9,MATCH($D28,Settings!$A$5:$A$9,0)),0))</f>
        <v/>
      </c>
      <c r="J28" s="12" t="str">
        <f aca="false">IF($B28="","",IF(I28=0,0,ROUND(MIN(G28/I28,1)*Settings!$B$13,1)))</f>
        <v/>
      </c>
      <c r="K28" s="8"/>
      <c r="L28" s="8"/>
      <c r="M28" s="12" t="str">
        <f aca="false">IF($B28="","",J28+MIN(K28,Settings!$B$14)+MIN(L28,Settings!$B$15))</f>
        <v/>
      </c>
      <c r="N28" s="13" t="str">
        <f aca="false">IF($B28="","",IF(G28&lt;H28,MIN(M28,Settings!$B$20),M28))</f>
        <v/>
      </c>
      <c r="O28" s="9" t="str">
        <f aca="false">IF($B28="","",IF($D28="","Assign role",IF(G28&lt;H28,"Below minimum - capped","OK")))</f>
        <v/>
      </c>
    </row>
    <row r="29" customFormat="false" ht="15" hidden="false" customHeight="false" outlineLevel="0" collapsed="false">
      <c r="A29" s="9" t="n">
        <f aca="false">Roster!A29</f>
        <v>25</v>
      </c>
      <c r="B29" s="9" t="str">
        <f aca="false">IF(Roster!B29="","",Roster!B29)</f>
        <v/>
      </c>
      <c r="C29" s="9" t="str">
        <f aca="false">IF($B29="","",Roster!C29)</f>
        <v/>
      </c>
      <c r="D29" s="9" t="str">
        <f aca="false">IF($B29="","",Roster!D29)</f>
        <v/>
      </c>
      <c r="E29" s="8"/>
      <c r="F29" s="8"/>
      <c r="G29" s="12" t="str">
        <f aca="false">IF($B29="","",E29+MIN(F29,Settings!$B$23)*Settings!$B$22)</f>
        <v/>
      </c>
      <c r="H29" s="11" t="str">
        <f aca="false">IF($B29="","",IFERROR(INDEX(Settings!$B$5:$B$9,MATCH($D29,Settings!$A$5:$A$9,0)),0))</f>
        <v/>
      </c>
      <c r="I29" s="11" t="str">
        <f aca="false">IF($B29="","",IFERROR(INDEX(Settings!$C$5:$C$9,MATCH($D29,Settings!$A$5:$A$9,0)),0))</f>
        <v/>
      </c>
      <c r="J29" s="12" t="str">
        <f aca="false">IF($B29="","",IF(I29=0,0,ROUND(MIN(G29/I29,1)*Settings!$B$13,1)))</f>
        <v/>
      </c>
      <c r="K29" s="8"/>
      <c r="L29" s="8"/>
      <c r="M29" s="12" t="str">
        <f aca="false">IF($B29="","",J29+MIN(K29,Settings!$B$14)+MIN(L29,Settings!$B$15))</f>
        <v/>
      </c>
      <c r="N29" s="13" t="str">
        <f aca="false">IF($B29="","",IF(G29&lt;H29,MIN(M29,Settings!$B$20),M29))</f>
        <v/>
      </c>
      <c r="O29" s="9" t="str">
        <f aca="false">IF($B29="","",IF($D29="","Assign role",IF(G29&lt;H29,"Below minimum - capped","OK")))</f>
        <v/>
      </c>
    </row>
    <row r="30" customFormat="false" ht="15" hidden="false" customHeight="false" outlineLevel="0" collapsed="false">
      <c r="A30" s="9" t="n">
        <f aca="false">Roster!A30</f>
        <v>26</v>
      </c>
      <c r="B30" s="9" t="str">
        <f aca="false">IF(Roster!B30="","",Roster!B30)</f>
        <v/>
      </c>
      <c r="C30" s="9" t="str">
        <f aca="false">IF($B30="","",Roster!C30)</f>
        <v/>
      </c>
      <c r="D30" s="9" t="str">
        <f aca="false">IF($B30="","",Roster!D30)</f>
        <v/>
      </c>
      <c r="E30" s="8"/>
      <c r="F30" s="8"/>
      <c r="G30" s="12" t="str">
        <f aca="false">IF($B30="","",E30+MIN(F30,Settings!$B$23)*Settings!$B$22)</f>
        <v/>
      </c>
      <c r="H30" s="11" t="str">
        <f aca="false">IF($B30="","",IFERROR(INDEX(Settings!$B$5:$B$9,MATCH($D30,Settings!$A$5:$A$9,0)),0))</f>
        <v/>
      </c>
      <c r="I30" s="11" t="str">
        <f aca="false">IF($B30="","",IFERROR(INDEX(Settings!$C$5:$C$9,MATCH($D30,Settings!$A$5:$A$9,0)),0))</f>
        <v/>
      </c>
      <c r="J30" s="12" t="str">
        <f aca="false">IF($B30="","",IF(I30=0,0,ROUND(MIN(G30/I30,1)*Settings!$B$13,1)))</f>
        <v/>
      </c>
      <c r="K30" s="8"/>
      <c r="L30" s="8"/>
      <c r="M30" s="12" t="str">
        <f aca="false">IF($B30="","",J30+MIN(K30,Settings!$B$14)+MIN(L30,Settings!$B$15))</f>
        <v/>
      </c>
      <c r="N30" s="13" t="str">
        <f aca="false">IF($B30="","",IF(G30&lt;H30,MIN(M30,Settings!$B$20),M30))</f>
        <v/>
      </c>
      <c r="O30" s="9" t="str">
        <f aca="false">IF($B30="","",IF($D30="","Assign role",IF(G30&lt;H30,"Below minimum - capped","OK")))</f>
        <v/>
      </c>
    </row>
    <row r="31" customFormat="false" ht="15" hidden="false" customHeight="false" outlineLevel="0" collapsed="false">
      <c r="A31" s="9" t="n">
        <f aca="false">Roster!A31</f>
        <v>27</v>
      </c>
      <c r="B31" s="9" t="str">
        <f aca="false">IF(Roster!B31="","",Roster!B31)</f>
        <v/>
      </c>
      <c r="C31" s="9" t="str">
        <f aca="false">IF($B31="","",Roster!C31)</f>
        <v/>
      </c>
      <c r="D31" s="9" t="str">
        <f aca="false">IF($B31="","",Roster!D31)</f>
        <v/>
      </c>
      <c r="E31" s="8"/>
      <c r="F31" s="8"/>
      <c r="G31" s="12" t="str">
        <f aca="false">IF($B31="","",E31+MIN(F31,Settings!$B$23)*Settings!$B$22)</f>
        <v/>
      </c>
      <c r="H31" s="11" t="str">
        <f aca="false">IF($B31="","",IFERROR(INDEX(Settings!$B$5:$B$9,MATCH($D31,Settings!$A$5:$A$9,0)),0))</f>
        <v/>
      </c>
      <c r="I31" s="11" t="str">
        <f aca="false">IF($B31="","",IFERROR(INDEX(Settings!$C$5:$C$9,MATCH($D31,Settings!$A$5:$A$9,0)),0))</f>
        <v/>
      </c>
      <c r="J31" s="12" t="str">
        <f aca="false">IF($B31="","",IF(I31=0,0,ROUND(MIN(G31/I31,1)*Settings!$B$13,1)))</f>
        <v/>
      </c>
      <c r="K31" s="8"/>
      <c r="L31" s="8"/>
      <c r="M31" s="12" t="str">
        <f aca="false">IF($B31="","",J31+MIN(K31,Settings!$B$14)+MIN(L31,Settings!$B$15))</f>
        <v/>
      </c>
      <c r="N31" s="13" t="str">
        <f aca="false">IF($B31="","",IF(G31&lt;H31,MIN(M31,Settings!$B$20),M31))</f>
        <v/>
      </c>
      <c r="O31" s="9" t="str">
        <f aca="false">IF($B31="","",IF($D31="","Assign role",IF(G31&lt;H31,"Below minimum - capped","OK")))</f>
        <v/>
      </c>
    </row>
    <row r="32" customFormat="false" ht="15" hidden="false" customHeight="false" outlineLevel="0" collapsed="false">
      <c r="A32" s="9" t="n">
        <f aca="false">Roster!A32</f>
        <v>28</v>
      </c>
      <c r="B32" s="9" t="str">
        <f aca="false">IF(Roster!B32="","",Roster!B32)</f>
        <v/>
      </c>
      <c r="C32" s="9" t="str">
        <f aca="false">IF($B32="","",Roster!C32)</f>
        <v/>
      </c>
      <c r="D32" s="9" t="str">
        <f aca="false">IF($B32="","",Roster!D32)</f>
        <v/>
      </c>
      <c r="E32" s="8"/>
      <c r="F32" s="8"/>
      <c r="G32" s="12" t="str">
        <f aca="false">IF($B32="","",E32+MIN(F32,Settings!$B$23)*Settings!$B$22)</f>
        <v/>
      </c>
      <c r="H32" s="11" t="str">
        <f aca="false">IF($B32="","",IFERROR(INDEX(Settings!$B$5:$B$9,MATCH($D32,Settings!$A$5:$A$9,0)),0))</f>
        <v/>
      </c>
      <c r="I32" s="11" t="str">
        <f aca="false">IF($B32="","",IFERROR(INDEX(Settings!$C$5:$C$9,MATCH($D32,Settings!$A$5:$A$9,0)),0))</f>
        <v/>
      </c>
      <c r="J32" s="12" t="str">
        <f aca="false">IF($B32="","",IF(I32=0,0,ROUND(MIN(G32/I32,1)*Settings!$B$13,1)))</f>
        <v/>
      </c>
      <c r="K32" s="8"/>
      <c r="L32" s="8"/>
      <c r="M32" s="12" t="str">
        <f aca="false">IF($B32="","",J32+MIN(K32,Settings!$B$14)+MIN(L32,Settings!$B$15))</f>
        <v/>
      </c>
      <c r="N32" s="13" t="str">
        <f aca="false">IF($B32="","",IF(G32&lt;H32,MIN(M32,Settings!$B$20),M32))</f>
        <v/>
      </c>
      <c r="O32" s="9" t="str">
        <f aca="false">IF($B32="","",IF($D32="","Assign role",IF(G32&lt;H32,"Below minimum - capped","OK")))</f>
        <v/>
      </c>
    </row>
    <row r="33" customFormat="false" ht="15" hidden="false" customHeight="false" outlineLevel="0" collapsed="false">
      <c r="A33" s="9" t="n">
        <f aca="false">Roster!A33</f>
        <v>29</v>
      </c>
      <c r="B33" s="9" t="str">
        <f aca="false">IF(Roster!B33="","",Roster!B33)</f>
        <v/>
      </c>
      <c r="C33" s="9" t="str">
        <f aca="false">IF($B33="","",Roster!C33)</f>
        <v/>
      </c>
      <c r="D33" s="9" t="str">
        <f aca="false">IF($B33="","",Roster!D33)</f>
        <v/>
      </c>
      <c r="E33" s="8"/>
      <c r="F33" s="8"/>
      <c r="G33" s="12" t="str">
        <f aca="false">IF($B33="","",E33+MIN(F33,Settings!$B$23)*Settings!$B$22)</f>
        <v/>
      </c>
      <c r="H33" s="11" t="str">
        <f aca="false">IF($B33="","",IFERROR(INDEX(Settings!$B$5:$B$9,MATCH($D33,Settings!$A$5:$A$9,0)),0))</f>
        <v/>
      </c>
      <c r="I33" s="11" t="str">
        <f aca="false">IF($B33="","",IFERROR(INDEX(Settings!$C$5:$C$9,MATCH($D33,Settings!$A$5:$A$9,0)),0))</f>
        <v/>
      </c>
      <c r="J33" s="12" t="str">
        <f aca="false">IF($B33="","",IF(I33=0,0,ROUND(MIN(G33/I33,1)*Settings!$B$13,1)))</f>
        <v/>
      </c>
      <c r="K33" s="8"/>
      <c r="L33" s="8"/>
      <c r="M33" s="12" t="str">
        <f aca="false">IF($B33="","",J33+MIN(K33,Settings!$B$14)+MIN(L33,Settings!$B$15))</f>
        <v/>
      </c>
      <c r="N33" s="13" t="str">
        <f aca="false">IF($B33="","",IF(G33&lt;H33,MIN(M33,Settings!$B$20),M33))</f>
        <v/>
      </c>
      <c r="O33" s="9" t="str">
        <f aca="false">IF($B33="","",IF($D33="","Assign role",IF(G33&lt;H33,"Below minimum - capped","OK")))</f>
        <v/>
      </c>
    </row>
    <row r="34" customFormat="false" ht="15" hidden="false" customHeight="false" outlineLevel="0" collapsed="false">
      <c r="A34" s="9" t="n">
        <f aca="false">Roster!A34</f>
        <v>30</v>
      </c>
      <c r="B34" s="9" t="str">
        <f aca="false">IF(Roster!B34="","",Roster!B34)</f>
        <v/>
      </c>
      <c r="C34" s="9" t="str">
        <f aca="false">IF($B34="","",Roster!C34)</f>
        <v/>
      </c>
      <c r="D34" s="9" t="str">
        <f aca="false">IF($B34="","",Roster!D34)</f>
        <v/>
      </c>
      <c r="E34" s="8"/>
      <c r="F34" s="8"/>
      <c r="G34" s="12" t="str">
        <f aca="false">IF($B34="","",E34+MIN(F34,Settings!$B$23)*Settings!$B$22)</f>
        <v/>
      </c>
      <c r="H34" s="11" t="str">
        <f aca="false">IF($B34="","",IFERROR(INDEX(Settings!$B$5:$B$9,MATCH($D34,Settings!$A$5:$A$9,0)),0))</f>
        <v/>
      </c>
      <c r="I34" s="11" t="str">
        <f aca="false">IF($B34="","",IFERROR(INDEX(Settings!$C$5:$C$9,MATCH($D34,Settings!$A$5:$A$9,0)),0))</f>
        <v/>
      </c>
      <c r="J34" s="12" t="str">
        <f aca="false">IF($B34="","",IF(I34=0,0,ROUND(MIN(G34/I34,1)*Settings!$B$13,1)))</f>
        <v/>
      </c>
      <c r="K34" s="8"/>
      <c r="L34" s="8"/>
      <c r="M34" s="12" t="str">
        <f aca="false">IF($B34="","",J34+MIN(K34,Settings!$B$14)+MIN(L34,Settings!$B$15))</f>
        <v/>
      </c>
      <c r="N34" s="13" t="str">
        <f aca="false">IF($B34="","",IF(G34&lt;H34,MIN(M34,Settings!$B$20),M34))</f>
        <v/>
      </c>
      <c r="O34" s="9" t="str">
        <f aca="false">IF($B34="","",IF($D34="","Assign role",IF(G34&lt;H34,"Below minimum - capped","OK")))</f>
        <v/>
      </c>
    </row>
    <row r="35" customFormat="false" ht="15" hidden="false" customHeight="false" outlineLevel="0" collapsed="false">
      <c r="A35" s="9" t="n">
        <f aca="false">Roster!A35</f>
        <v>31</v>
      </c>
      <c r="B35" s="9" t="str">
        <f aca="false">IF(Roster!B35="","",Roster!B35)</f>
        <v/>
      </c>
      <c r="C35" s="9" t="str">
        <f aca="false">IF($B35="","",Roster!C35)</f>
        <v/>
      </c>
      <c r="D35" s="9" t="str">
        <f aca="false">IF($B35="","",Roster!D35)</f>
        <v/>
      </c>
      <c r="E35" s="8"/>
      <c r="F35" s="8"/>
      <c r="G35" s="12" t="str">
        <f aca="false">IF($B35="","",E35+MIN(F35,Settings!$B$23)*Settings!$B$22)</f>
        <v/>
      </c>
      <c r="H35" s="11" t="str">
        <f aca="false">IF($B35="","",IFERROR(INDEX(Settings!$B$5:$B$9,MATCH($D35,Settings!$A$5:$A$9,0)),0))</f>
        <v/>
      </c>
      <c r="I35" s="11" t="str">
        <f aca="false">IF($B35="","",IFERROR(INDEX(Settings!$C$5:$C$9,MATCH($D35,Settings!$A$5:$A$9,0)),0))</f>
        <v/>
      </c>
      <c r="J35" s="12" t="str">
        <f aca="false">IF($B35="","",IF(I35=0,0,ROUND(MIN(G35/I35,1)*Settings!$B$13,1)))</f>
        <v/>
      </c>
      <c r="K35" s="8"/>
      <c r="L35" s="8"/>
      <c r="M35" s="12" t="str">
        <f aca="false">IF($B35="","",J35+MIN(K35,Settings!$B$14)+MIN(L35,Settings!$B$15))</f>
        <v/>
      </c>
      <c r="N35" s="13" t="str">
        <f aca="false">IF($B35="","",IF(G35&lt;H35,MIN(M35,Settings!$B$20),M35))</f>
        <v/>
      </c>
      <c r="O35" s="9" t="str">
        <f aca="false">IF($B35="","",IF($D35="","Assign role",IF(G35&lt;H35,"Below minimum - capped","OK")))</f>
        <v/>
      </c>
    </row>
    <row r="36" customFormat="false" ht="15" hidden="false" customHeight="false" outlineLevel="0" collapsed="false">
      <c r="A36" s="9" t="n">
        <f aca="false">Roster!A36</f>
        <v>32</v>
      </c>
      <c r="B36" s="9" t="str">
        <f aca="false">IF(Roster!B36="","",Roster!B36)</f>
        <v/>
      </c>
      <c r="C36" s="9" t="str">
        <f aca="false">IF($B36="","",Roster!C36)</f>
        <v/>
      </c>
      <c r="D36" s="9" t="str">
        <f aca="false">IF($B36="","",Roster!D36)</f>
        <v/>
      </c>
      <c r="E36" s="8"/>
      <c r="F36" s="8"/>
      <c r="G36" s="12" t="str">
        <f aca="false">IF($B36="","",E36+MIN(F36,Settings!$B$23)*Settings!$B$22)</f>
        <v/>
      </c>
      <c r="H36" s="11" t="str">
        <f aca="false">IF($B36="","",IFERROR(INDEX(Settings!$B$5:$B$9,MATCH($D36,Settings!$A$5:$A$9,0)),0))</f>
        <v/>
      </c>
      <c r="I36" s="11" t="str">
        <f aca="false">IF($B36="","",IFERROR(INDEX(Settings!$C$5:$C$9,MATCH($D36,Settings!$A$5:$A$9,0)),0))</f>
        <v/>
      </c>
      <c r="J36" s="12" t="str">
        <f aca="false">IF($B36="","",IF(I36=0,0,ROUND(MIN(G36/I36,1)*Settings!$B$13,1)))</f>
        <v/>
      </c>
      <c r="K36" s="8"/>
      <c r="L36" s="8"/>
      <c r="M36" s="12" t="str">
        <f aca="false">IF($B36="","",J36+MIN(K36,Settings!$B$14)+MIN(L36,Settings!$B$15))</f>
        <v/>
      </c>
      <c r="N36" s="13" t="str">
        <f aca="false">IF($B36="","",IF(G36&lt;H36,MIN(M36,Settings!$B$20),M36))</f>
        <v/>
      </c>
      <c r="O36" s="9" t="str">
        <f aca="false">IF($B36="","",IF($D36="","Assign role",IF(G36&lt;H36,"Below minimum - capped","OK")))</f>
        <v/>
      </c>
    </row>
    <row r="37" customFormat="false" ht="15" hidden="false" customHeight="false" outlineLevel="0" collapsed="false">
      <c r="A37" s="9" t="n">
        <f aca="false">Roster!A37</f>
        <v>33</v>
      </c>
      <c r="B37" s="9" t="str">
        <f aca="false">IF(Roster!B37="","",Roster!B37)</f>
        <v/>
      </c>
      <c r="C37" s="9" t="str">
        <f aca="false">IF($B37="","",Roster!C37)</f>
        <v/>
      </c>
      <c r="D37" s="9" t="str">
        <f aca="false">IF($B37="","",Roster!D37)</f>
        <v/>
      </c>
      <c r="E37" s="8"/>
      <c r="F37" s="8"/>
      <c r="G37" s="12" t="str">
        <f aca="false">IF($B37="","",E37+MIN(F37,Settings!$B$23)*Settings!$B$22)</f>
        <v/>
      </c>
      <c r="H37" s="11" t="str">
        <f aca="false">IF($B37="","",IFERROR(INDEX(Settings!$B$5:$B$9,MATCH($D37,Settings!$A$5:$A$9,0)),0))</f>
        <v/>
      </c>
      <c r="I37" s="11" t="str">
        <f aca="false">IF($B37="","",IFERROR(INDEX(Settings!$C$5:$C$9,MATCH($D37,Settings!$A$5:$A$9,0)),0))</f>
        <v/>
      </c>
      <c r="J37" s="12" t="str">
        <f aca="false">IF($B37="","",IF(I37=0,0,ROUND(MIN(G37/I37,1)*Settings!$B$13,1)))</f>
        <v/>
      </c>
      <c r="K37" s="8"/>
      <c r="L37" s="8"/>
      <c r="M37" s="12" t="str">
        <f aca="false">IF($B37="","",J37+MIN(K37,Settings!$B$14)+MIN(L37,Settings!$B$15))</f>
        <v/>
      </c>
      <c r="N37" s="13" t="str">
        <f aca="false">IF($B37="","",IF(G37&lt;H37,MIN(M37,Settings!$B$20),M37))</f>
        <v/>
      </c>
      <c r="O37" s="9" t="str">
        <f aca="false">IF($B37="","",IF($D37="","Assign role",IF(G37&lt;H37,"Below minimum - capped","OK")))</f>
        <v/>
      </c>
    </row>
    <row r="38" customFormat="false" ht="15" hidden="false" customHeight="false" outlineLevel="0" collapsed="false">
      <c r="A38" s="9" t="n">
        <f aca="false">Roster!A38</f>
        <v>34</v>
      </c>
      <c r="B38" s="9" t="str">
        <f aca="false">IF(Roster!B38="","",Roster!B38)</f>
        <v/>
      </c>
      <c r="C38" s="9" t="str">
        <f aca="false">IF($B38="","",Roster!C38)</f>
        <v/>
      </c>
      <c r="D38" s="9" t="str">
        <f aca="false">IF($B38="","",Roster!D38)</f>
        <v/>
      </c>
      <c r="E38" s="8"/>
      <c r="F38" s="8"/>
      <c r="G38" s="12" t="str">
        <f aca="false">IF($B38="","",E38+MIN(F38,Settings!$B$23)*Settings!$B$22)</f>
        <v/>
      </c>
      <c r="H38" s="11" t="str">
        <f aca="false">IF($B38="","",IFERROR(INDEX(Settings!$B$5:$B$9,MATCH($D38,Settings!$A$5:$A$9,0)),0))</f>
        <v/>
      </c>
      <c r="I38" s="11" t="str">
        <f aca="false">IF($B38="","",IFERROR(INDEX(Settings!$C$5:$C$9,MATCH($D38,Settings!$A$5:$A$9,0)),0))</f>
        <v/>
      </c>
      <c r="J38" s="12" t="str">
        <f aca="false">IF($B38="","",IF(I38=0,0,ROUND(MIN(G38/I38,1)*Settings!$B$13,1)))</f>
        <v/>
      </c>
      <c r="K38" s="8"/>
      <c r="L38" s="8"/>
      <c r="M38" s="12" t="str">
        <f aca="false">IF($B38="","",J38+MIN(K38,Settings!$B$14)+MIN(L38,Settings!$B$15))</f>
        <v/>
      </c>
      <c r="N38" s="13" t="str">
        <f aca="false">IF($B38="","",IF(G38&lt;H38,MIN(M38,Settings!$B$20),M38))</f>
        <v/>
      </c>
      <c r="O38" s="9" t="str">
        <f aca="false">IF($B38="","",IF($D38="","Assign role",IF(G38&lt;H38,"Below minimum - capped","OK")))</f>
        <v/>
      </c>
    </row>
    <row r="39" customFormat="false" ht="15" hidden="false" customHeight="false" outlineLevel="0" collapsed="false">
      <c r="A39" s="9" t="n">
        <f aca="false">Roster!A39</f>
        <v>35</v>
      </c>
      <c r="B39" s="9" t="str">
        <f aca="false">IF(Roster!B39="","",Roster!B39)</f>
        <v/>
      </c>
      <c r="C39" s="9" t="str">
        <f aca="false">IF($B39="","",Roster!C39)</f>
        <v/>
      </c>
      <c r="D39" s="9" t="str">
        <f aca="false">IF($B39="","",Roster!D39)</f>
        <v/>
      </c>
      <c r="E39" s="8"/>
      <c r="F39" s="8"/>
      <c r="G39" s="12" t="str">
        <f aca="false">IF($B39="","",E39+MIN(F39,Settings!$B$23)*Settings!$B$22)</f>
        <v/>
      </c>
      <c r="H39" s="11" t="str">
        <f aca="false">IF($B39="","",IFERROR(INDEX(Settings!$B$5:$B$9,MATCH($D39,Settings!$A$5:$A$9,0)),0))</f>
        <v/>
      </c>
      <c r="I39" s="11" t="str">
        <f aca="false">IF($B39="","",IFERROR(INDEX(Settings!$C$5:$C$9,MATCH($D39,Settings!$A$5:$A$9,0)),0))</f>
        <v/>
      </c>
      <c r="J39" s="12" t="str">
        <f aca="false">IF($B39="","",IF(I39=0,0,ROUND(MIN(G39/I39,1)*Settings!$B$13,1)))</f>
        <v/>
      </c>
      <c r="K39" s="8"/>
      <c r="L39" s="8"/>
      <c r="M39" s="12" t="str">
        <f aca="false">IF($B39="","",J39+MIN(K39,Settings!$B$14)+MIN(L39,Settings!$B$15))</f>
        <v/>
      </c>
      <c r="N39" s="13" t="str">
        <f aca="false">IF($B39="","",IF(G39&lt;H39,MIN(M39,Settings!$B$20),M39))</f>
        <v/>
      </c>
      <c r="O39" s="9" t="str">
        <f aca="false">IF($B39="","",IF($D39="","Assign role",IF(G39&lt;H39,"Below minimum - capped","OK")))</f>
        <v/>
      </c>
    </row>
    <row r="40" customFormat="false" ht="15" hidden="false" customHeight="false" outlineLevel="0" collapsed="false">
      <c r="A40" s="9" t="n">
        <f aca="false">Roster!A40</f>
        <v>36</v>
      </c>
      <c r="B40" s="9" t="str">
        <f aca="false">IF(Roster!B40="","",Roster!B40)</f>
        <v/>
      </c>
      <c r="C40" s="9" t="str">
        <f aca="false">IF($B40="","",Roster!C40)</f>
        <v/>
      </c>
      <c r="D40" s="9" t="str">
        <f aca="false">IF($B40="","",Roster!D40)</f>
        <v/>
      </c>
      <c r="E40" s="8"/>
      <c r="F40" s="8"/>
      <c r="G40" s="12" t="str">
        <f aca="false">IF($B40="","",E40+MIN(F40,Settings!$B$23)*Settings!$B$22)</f>
        <v/>
      </c>
      <c r="H40" s="11" t="str">
        <f aca="false">IF($B40="","",IFERROR(INDEX(Settings!$B$5:$B$9,MATCH($D40,Settings!$A$5:$A$9,0)),0))</f>
        <v/>
      </c>
      <c r="I40" s="11" t="str">
        <f aca="false">IF($B40="","",IFERROR(INDEX(Settings!$C$5:$C$9,MATCH($D40,Settings!$A$5:$A$9,0)),0))</f>
        <v/>
      </c>
      <c r="J40" s="12" t="str">
        <f aca="false">IF($B40="","",IF(I40=0,0,ROUND(MIN(G40/I40,1)*Settings!$B$13,1)))</f>
        <v/>
      </c>
      <c r="K40" s="8"/>
      <c r="L40" s="8"/>
      <c r="M40" s="12" t="str">
        <f aca="false">IF($B40="","",J40+MIN(K40,Settings!$B$14)+MIN(L40,Settings!$B$15))</f>
        <v/>
      </c>
      <c r="N40" s="13" t="str">
        <f aca="false">IF($B40="","",IF(G40&lt;H40,MIN(M40,Settings!$B$20),M40))</f>
        <v/>
      </c>
      <c r="O40" s="9" t="str">
        <f aca="false">IF($B40="","",IF($D40="","Assign role",IF(G40&lt;H40,"Below minimum - capped","OK")))</f>
        <v/>
      </c>
    </row>
    <row r="41" customFormat="false" ht="15" hidden="false" customHeight="false" outlineLevel="0" collapsed="false">
      <c r="A41" s="9" t="n">
        <f aca="false">Roster!A41</f>
        <v>37</v>
      </c>
      <c r="B41" s="9" t="str">
        <f aca="false">IF(Roster!B41="","",Roster!B41)</f>
        <v/>
      </c>
      <c r="C41" s="9" t="str">
        <f aca="false">IF($B41="","",Roster!C41)</f>
        <v/>
      </c>
      <c r="D41" s="9" t="str">
        <f aca="false">IF($B41="","",Roster!D41)</f>
        <v/>
      </c>
      <c r="E41" s="8"/>
      <c r="F41" s="8"/>
      <c r="G41" s="12" t="str">
        <f aca="false">IF($B41="","",E41+MIN(F41,Settings!$B$23)*Settings!$B$22)</f>
        <v/>
      </c>
      <c r="H41" s="11" t="str">
        <f aca="false">IF($B41="","",IFERROR(INDEX(Settings!$B$5:$B$9,MATCH($D41,Settings!$A$5:$A$9,0)),0))</f>
        <v/>
      </c>
      <c r="I41" s="11" t="str">
        <f aca="false">IF($B41="","",IFERROR(INDEX(Settings!$C$5:$C$9,MATCH($D41,Settings!$A$5:$A$9,0)),0))</f>
        <v/>
      </c>
      <c r="J41" s="12" t="str">
        <f aca="false">IF($B41="","",IF(I41=0,0,ROUND(MIN(G41/I41,1)*Settings!$B$13,1)))</f>
        <v/>
      </c>
      <c r="K41" s="8"/>
      <c r="L41" s="8"/>
      <c r="M41" s="12" t="str">
        <f aca="false">IF($B41="","",J41+MIN(K41,Settings!$B$14)+MIN(L41,Settings!$B$15))</f>
        <v/>
      </c>
      <c r="N41" s="13" t="str">
        <f aca="false">IF($B41="","",IF(G41&lt;H41,MIN(M41,Settings!$B$20),M41))</f>
        <v/>
      </c>
      <c r="O41" s="9" t="str">
        <f aca="false">IF($B41="","",IF($D41="","Assign role",IF(G41&lt;H41,"Below minimum - capped","OK")))</f>
        <v/>
      </c>
    </row>
    <row r="42" customFormat="false" ht="15" hidden="false" customHeight="false" outlineLevel="0" collapsed="false">
      <c r="A42" s="9" t="n">
        <f aca="false">Roster!A42</f>
        <v>38</v>
      </c>
      <c r="B42" s="9" t="str">
        <f aca="false">IF(Roster!B42="","",Roster!B42)</f>
        <v/>
      </c>
      <c r="C42" s="9" t="str">
        <f aca="false">IF($B42="","",Roster!C42)</f>
        <v/>
      </c>
      <c r="D42" s="9" t="str">
        <f aca="false">IF($B42="","",Roster!D42)</f>
        <v/>
      </c>
      <c r="E42" s="8"/>
      <c r="F42" s="8"/>
      <c r="G42" s="12" t="str">
        <f aca="false">IF($B42="","",E42+MIN(F42,Settings!$B$23)*Settings!$B$22)</f>
        <v/>
      </c>
      <c r="H42" s="11" t="str">
        <f aca="false">IF($B42="","",IFERROR(INDEX(Settings!$B$5:$B$9,MATCH($D42,Settings!$A$5:$A$9,0)),0))</f>
        <v/>
      </c>
      <c r="I42" s="11" t="str">
        <f aca="false">IF($B42="","",IFERROR(INDEX(Settings!$C$5:$C$9,MATCH($D42,Settings!$A$5:$A$9,0)),0))</f>
        <v/>
      </c>
      <c r="J42" s="12" t="str">
        <f aca="false">IF($B42="","",IF(I42=0,0,ROUND(MIN(G42/I42,1)*Settings!$B$13,1)))</f>
        <v/>
      </c>
      <c r="K42" s="8"/>
      <c r="L42" s="8"/>
      <c r="M42" s="12" t="str">
        <f aca="false">IF($B42="","",J42+MIN(K42,Settings!$B$14)+MIN(L42,Settings!$B$15))</f>
        <v/>
      </c>
      <c r="N42" s="13" t="str">
        <f aca="false">IF($B42="","",IF(G42&lt;H42,MIN(M42,Settings!$B$20),M42))</f>
        <v/>
      </c>
      <c r="O42" s="9" t="str">
        <f aca="false">IF($B42="","",IF($D42="","Assign role",IF(G42&lt;H42,"Below minimum - capped","OK")))</f>
        <v/>
      </c>
    </row>
    <row r="43" customFormat="false" ht="15" hidden="false" customHeight="false" outlineLevel="0" collapsed="false">
      <c r="A43" s="9" t="n">
        <f aca="false">Roster!A43</f>
        <v>39</v>
      </c>
      <c r="B43" s="9" t="str">
        <f aca="false">IF(Roster!B43="","",Roster!B43)</f>
        <v/>
      </c>
      <c r="C43" s="9" t="str">
        <f aca="false">IF($B43="","",Roster!C43)</f>
        <v/>
      </c>
      <c r="D43" s="9" t="str">
        <f aca="false">IF($B43="","",Roster!D43)</f>
        <v/>
      </c>
      <c r="E43" s="8"/>
      <c r="F43" s="8"/>
      <c r="G43" s="12" t="str">
        <f aca="false">IF($B43="","",E43+MIN(F43,Settings!$B$23)*Settings!$B$22)</f>
        <v/>
      </c>
      <c r="H43" s="11" t="str">
        <f aca="false">IF($B43="","",IFERROR(INDEX(Settings!$B$5:$B$9,MATCH($D43,Settings!$A$5:$A$9,0)),0))</f>
        <v/>
      </c>
      <c r="I43" s="11" t="str">
        <f aca="false">IF($B43="","",IFERROR(INDEX(Settings!$C$5:$C$9,MATCH($D43,Settings!$A$5:$A$9,0)),0))</f>
        <v/>
      </c>
      <c r="J43" s="12" t="str">
        <f aca="false">IF($B43="","",IF(I43=0,0,ROUND(MIN(G43/I43,1)*Settings!$B$13,1)))</f>
        <v/>
      </c>
      <c r="K43" s="8"/>
      <c r="L43" s="8"/>
      <c r="M43" s="12" t="str">
        <f aca="false">IF($B43="","",J43+MIN(K43,Settings!$B$14)+MIN(L43,Settings!$B$15))</f>
        <v/>
      </c>
      <c r="N43" s="13" t="str">
        <f aca="false">IF($B43="","",IF(G43&lt;H43,MIN(M43,Settings!$B$20),M43))</f>
        <v/>
      </c>
      <c r="O43" s="9" t="str">
        <f aca="false">IF($B43="","",IF($D43="","Assign role",IF(G43&lt;H43,"Below minimum - capped","OK")))</f>
        <v/>
      </c>
    </row>
    <row r="44" customFormat="false" ht="15" hidden="false" customHeight="false" outlineLevel="0" collapsed="false">
      <c r="A44" s="9" t="n">
        <f aca="false">Roster!A44</f>
        <v>40</v>
      </c>
      <c r="B44" s="9" t="str">
        <f aca="false">IF(Roster!B44="","",Roster!B44)</f>
        <v/>
      </c>
      <c r="C44" s="9" t="str">
        <f aca="false">IF($B44="","",Roster!C44)</f>
        <v/>
      </c>
      <c r="D44" s="9" t="str">
        <f aca="false">IF($B44="","",Roster!D44)</f>
        <v/>
      </c>
      <c r="E44" s="8"/>
      <c r="F44" s="8"/>
      <c r="G44" s="12" t="str">
        <f aca="false">IF($B44="","",E44+MIN(F44,Settings!$B$23)*Settings!$B$22)</f>
        <v/>
      </c>
      <c r="H44" s="11" t="str">
        <f aca="false">IF($B44="","",IFERROR(INDEX(Settings!$B$5:$B$9,MATCH($D44,Settings!$A$5:$A$9,0)),0))</f>
        <v/>
      </c>
      <c r="I44" s="11" t="str">
        <f aca="false">IF($B44="","",IFERROR(INDEX(Settings!$C$5:$C$9,MATCH($D44,Settings!$A$5:$A$9,0)),0))</f>
        <v/>
      </c>
      <c r="J44" s="12" t="str">
        <f aca="false">IF($B44="","",IF(I44=0,0,ROUND(MIN(G44/I44,1)*Settings!$B$13,1)))</f>
        <v/>
      </c>
      <c r="K44" s="8"/>
      <c r="L44" s="8"/>
      <c r="M44" s="12" t="str">
        <f aca="false">IF($B44="","",J44+MIN(K44,Settings!$B$14)+MIN(L44,Settings!$B$15))</f>
        <v/>
      </c>
      <c r="N44" s="13" t="str">
        <f aca="false">IF($B44="","",IF(G44&lt;H44,MIN(M44,Settings!$B$20),M44))</f>
        <v/>
      </c>
      <c r="O44" s="9" t="str">
        <f aca="false">IF($B44="","",IF($D44="","Assign role",IF(G44&lt;H44,"Below minimum - capped","OK")))</f>
        <v/>
      </c>
    </row>
  </sheetData>
  <conditionalFormatting sqref="O5:O44">
    <cfRule type="expression" priority="2" aboveAverage="0" equalAverage="0" bottom="0" percent="0" rank="0" text="" dxfId="0">
      <formula>LEFT($O5,5)="Below"</formula>
    </cfRule>
    <cfRule type="expression" priority="3" aboveAverage="0" equalAverage="0" bottom="0" percent="0" rank="0" text="" dxfId="1">
      <formula>$O5="Assign role"</formula>
    </cfRule>
  </conditionalFormatting>
  <dataValidations count="1">
    <dataValidation allowBlank="true" error="Enter a number 0 or higher." errorStyle="stop" errorTitle="Invalid" operator="greaterThanOrEqual" showDropDown="false" showErrorMessage="false" showInputMessage="false" sqref="E5:F44 K5:L4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4" min="12" style="0" width="10"/>
    <col collapsed="false" customWidth="true" hidden="false" outlineLevel="0" max="15" min="15" style="0" width="12"/>
    <col collapsed="false" customWidth="true" hidden="false" outlineLevel="0" max="20" min="16" style="0" width="10"/>
    <col collapsed="false" customWidth="true" hidden="false" outlineLevel="0" max="21" min="21" style="0" width="14"/>
    <col collapsed="false" customWidth="true" hidden="false" outlineLevel="0" max="22" min="22" style="0" width="32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10" t="s">
        <v>90</v>
      </c>
    </row>
    <row r="4" customFormat="false" ht="42" hidden="false" customHeight="true" outlineLevel="0" collapsed="false">
      <c r="A4" s="5" t="s">
        <v>66</v>
      </c>
      <c r="B4" s="5" t="s">
        <v>77</v>
      </c>
      <c r="C4" s="5" t="s">
        <v>68</v>
      </c>
      <c r="D4" s="5" t="s">
        <v>24</v>
      </c>
      <c r="E4" s="5" t="s">
        <v>91</v>
      </c>
      <c r="F4" s="5" t="s">
        <v>92</v>
      </c>
      <c r="G4" s="5" t="s">
        <v>93</v>
      </c>
      <c r="H4" s="5" t="s">
        <v>94</v>
      </c>
      <c r="I4" s="5" t="s">
        <v>95</v>
      </c>
      <c r="J4" s="5" t="s">
        <v>80</v>
      </c>
      <c r="K4" s="5" t="s">
        <v>96</v>
      </c>
      <c r="L4" s="5" t="s">
        <v>97</v>
      </c>
      <c r="M4" s="5" t="s">
        <v>82</v>
      </c>
      <c r="N4" s="5" t="s">
        <v>83</v>
      </c>
      <c r="O4" s="5" t="s">
        <v>98</v>
      </c>
      <c r="P4" s="5" t="s">
        <v>99</v>
      </c>
      <c r="Q4" s="5" t="s">
        <v>84</v>
      </c>
      <c r="R4" s="5" t="s">
        <v>100</v>
      </c>
      <c r="S4" s="5" t="s">
        <v>101</v>
      </c>
      <c r="T4" s="5" t="s">
        <v>86</v>
      </c>
      <c r="U4" s="5" t="s">
        <v>102</v>
      </c>
      <c r="V4" s="5" t="s">
        <v>88</v>
      </c>
    </row>
    <row r="5" customFormat="false" ht="15" hidden="false" customHeight="false" outlineLevel="0" collapsed="false">
      <c r="A5" s="9" t="n">
        <f aca="false">Roster!A5</f>
        <v>1</v>
      </c>
      <c r="B5" s="9" t="str">
        <f aca="false">IF(Roster!B5="","",Roster!B5)</f>
        <v>Sample Student 1</v>
      </c>
      <c r="C5" s="9" t="str">
        <f aca="false">IF($B5="","",Roster!C5)</f>
        <v>Team A</v>
      </c>
      <c r="D5" s="9" t="str">
        <f aca="false">IF($B5="","",Roster!D5)</f>
        <v>Developer</v>
      </c>
      <c r="E5" s="8" t="n">
        <v>8</v>
      </c>
      <c r="F5" s="8" t="n">
        <v>7</v>
      </c>
      <c r="G5" s="8" t="n">
        <v>9</v>
      </c>
      <c r="H5" s="8" t="n">
        <v>3</v>
      </c>
      <c r="I5" s="11" t="n">
        <f aca="false">IF($B5="","",SUM(E5:G5))</f>
        <v>24</v>
      </c>
      <c r="J5" s="12" t="n">
        <f aca="false">IF($B5="","",I5+MIN(H5,Settings!$B$23)*Settings!$B$22)</f>
        <v>25.5</v>
      </c>
      <c r="K5" s="11" t="n">
        <f aca="false">IF($B5="","",IFERROR(INDEX(Settings!$D$5:$D$9,MATCH($D5,Settings!$A$5:$A$9,0)),0))</f>
        <v>5</v>
      </c>
      <c r="L5" s="11" t="n">
        <f aca="false">IF($B5="","",IFERROR(INDEX(Settings!$E$5:$E$9,MATCH($D5,Settings!$A$5:$A$9,0)),0))</f>
        <v>15</v>
      </c>
      <c r="M5" s="11" t="n">
        <f aca="false">IF($B5="","",IFERROR(INDEX(Settings!$F$5:$F$9,MATCH($D5,Settings!$A$5:$A$9,0)),0))</f>
        <v>24</v>
      </c>
      <c r="N5" s="12" t="n">
        <f aca="false">IF($B5="","",IF(M5=0,0,ROUND(MIN(J5/M5,1)*Settings!$B$16,1)))</f>
        <v>60</v>
      </c>
      <c r="O5" s="11" t="n">
        <f aca="false">IF($B5="","",(E5&lt;K5)+(F5&lt;K5)+(G5&lt;K5))</f>
        <v>0</v>
      </c>
      <c r="P5" s="12" t="n">
        <f aca="false">IF($B5="","",O5*Settings!$B$21)</f>
        <v>0</v>
      </c>
      <c r="Q5" s="8" t="n">
        <v>13</v>
      </c>
      <c r="R5" s="8" t="n">
        <v>13</v>
      </c>
      <c r="S5" s="8" t="n">
        <v>9</v>
      </c>
      <c r="T5" s="12" t="n">
        <f aca="false">IF($B5="","",MAX(0,N5+MIN(Q5,Settings!$B$17)+MIN(R5,Settings!$B$18)+MIN(S5,Settings!$B$19)-P5))</f>
        <v>95</v>
      </c>
      <c r="U5" s="13" t="n">
        <f aca="false">IF($B5="","",IF(J5&lt;L5,MIN(T5,Settings!$B$20),T5))</f>
        <v>95</v>
      </c>
      <c r="V5" s="9" t="str">
        <f aca="false">IF($B5="","",IF($D5="","Assign role",IF(J5&lt;L5,"Below total minimum - capped",IF(O5&gt;0,"Missed sprint minimum - deducted","OK"))))</f>
        <v>OK</v>
      </c>
    </row>
    <row r="6" customFormat="false" ht="15" hidden="false" customHeight="false" outlineLevel="0" collapsed="false">
      <c r="A6" s="9" t="n">
        <f aca="false">Roster!A6</f>
        <v>2</v>
      </c>
      <c r="B6" s="9" t="str">
        <f aca="false">IF(Roster!B6="","",Roster!B6)</f>
        <v>Sample Student 2</v>
      </c>
      <c r="C6" s="9" t="str">
        <f aca="false">IF($B6="","",Roster!C6)</f>
        <v>Team A</v>
      </c>
      <c r="D6" s="9" t="str">
        <f aca="false">IF($B6="","",Roster!D6)</f>
        <v>DB Admin</v>
      </c>
      <c r="E6" s="8" t="n">
        <v>5</v>
      </c>
      <c r="F6" s="8" t="n">
        <v>6</v>
      </c>
      <c r="G6" s="8" t="n">
        <v>5</v>
      </c>
      <c r="H6" s="8" t="n">
        <v>2</v>
      </c>
      <c r="I6" s="11" t="n">
        <f aca="false">IF($B6="","",SUM(E6:G6))</f>
        <v>16</v>
      </c>
      <c r="J6" s="12" t="n">
        <f aca="false">IF($B6="","",I6+MIN(H6,Settings!$B$23)*Settings!$B$22)</f>
        <v>17</v>
      </c>
      <c r="K6" s="11" t="n">
        <f aca="false">IF($B6="","",IFERROR(INDEX(Settings!$D$5:$D$9,MATCH($D6,Settings!$A$5:$A$9,0)),0))</f>
        <v>4</v>
      </c>
      <c r="L6" s="11" t="n">
        <f aca="false">IF($B6="","",IFERROR(INDEX(Settings!$E$5:$E$9,MATCH($D6,Settings!$A$5:$A$9,0)),0))</f>
        <v>12</v>
      </c>
      <c r="M6" s="11" t="n">
        <f aca="false">IF($B6="","",IFERROR(INDEX(Settings!$F$5:$F$9,MATCH($D6,Settings!$A$5:$A$9,0)),0))</f>
        <v>18</v>
      </c>
      <c r="N6" s="12" t="n">
        <f aca="false">IF($B6="","",IF(M6=0,0,ROUND(MIN(J6/M6,1)*Settings!$B$16,1)))</f>
        <v>56.7</v>
      </c>
      <c r="O6" s="11" t="n">
        <f aca="false">IF($B6="","",(E6&lt;K6)+(F6&lt;K6)+(G6&lt;K6))</f>
        <v>0</v>
      </c>
      <c r="P6" s="12" t="n">
        <f aca="false">IF($B6="","",O6*Settings!$B$21)</f>
        <v>0</v>
      </c>
      <c r="Q6" s="8" t="n">
        <v>13</v>
      </c>
      <c r="R6" s="8" t="n">
        <v>13</v>
      </c>
      <c r="S6" s="8" t="n">
        <v>9</v>
      </c>
      <c r="T6" s="12" t="n">
        <f aca="false">IF($B6="","",MAX(0,N6+MIN(Q6,Settings!$B$17)+MIN(R6,Settings!$B$18)+MIN(S6,Settings!$B$19)-P6))</f>
        <v>91.7</v>
      </c>
      <c r="U6" s="13" t="n">
        <f aca="false">IF($B6="","",IF(J6&lt;L6,MIN(T6,Settings!$B$20),T6))</f>
        <v>91.7</v>
      </c>
      <c r="V6" s="9" t="str">
        <f aca="false">IF($B6="","",IF($D6="","Assign role",IF(J6&lt;L6,"Below total minimum - capped",IF(O6&gt;0,"Missed sprint minimum - deducted","OK"))))</f>
        <v>OK</v>
      </c>
    </row>
    <row r="7" customFormat="false" ht="15" hidden="false" customHeight="false" outlineLevel="0" collapsed="false">
      <c r="A7" s="9" t="n">
        <f aca="false">Roster!A7</f>
        <v>3</v>
      </c>
      <c r="B7" s="9" t="str">
        <f aca="false">IF(Roster!B7="","",Roster!B7)</f>
        <v>Sample Student 3</v>
      </c>
      <c r="C7" s="9" t="str">
        <f aca="false">IF($B7="","",Roster!C7)</f>
        <v>Team A</v>
      </c>
      <c r="D7" s="9" t="str">
        <f aca="false">IF($B7="","",Roster!D7)</f>
        <v>Tester</v>
      </c>
      <c r="E7" s="8" t="n">
        <v>4</v>
      </c>
      <c r="F7" s="8" t="n">
        <v>5</v>
      </c>
      <c r="G7" s="8" t="n">
        <v>3</v>
      </c>
      <c r="H7" s="8" t="n">
        <v>0</v>
      </c>
      <c r="I7" s="11" t="n">
        <f aca="false">IF($B7="","",SUM(E7:G7))</f>
        <v>12</v>
      </c>
      <c r="J7" s="12" t="n">
        <f aca="false">IF($B7="","",I7+MIN(H7,Settings!$B$23)*Settings!$B$22)</f>
        <v>12</v>
      </c>
      <c r="K7" s="11" t="n">
        <f aca="false">IF($B7="","",IFERROR(INDEX(Settings!$D$5:$D$9,MATCH($D7,Settings!$A$5:$A$9,0)),0))</f>
        <v>4</v>
      </c>
      <c r="L7" s="11" t="n">
        <f aca="false">IF($B7="","",IFERROR(INDEX(Settings!$E$5:$E$9,MATCH($D7,Settings!$A$5:$A$9,0)),0))</f>
        <v>12</v>
      </c>
      <c r="M7" s="11" t="n">
        <f aca="false">IF($B7="","",IFERROR(INDEX(Settings!$F$5:$F$9,MATCH($D7,Settings!$A$5:$A$9,0)),0))</f>
        <v>18</v>
      </c>
      <c r="N7" s="12" t="n">
        <f aca="false">IF($B7="","",IF(M7=0,0,ROUND(MIN(J7/M7,1)*Settings!$B$16,1)))</f>
        <v>40</v>
      </c>
      <c r="O7" s="11" t="n">
        <f aca="false">IF($B7="","",(E7&lt;K7)+(F7&lt;K7)+(G7&lt;K7))</f>
        <v>1</v>
      </c>
      <c r="P7" s="12" t="n">
        <f aca="false">IF($B7="","",O7*Settings!$B$21)</f>
        <v>3</v>
      </c>
      <c r="Q7" s="8" t="n">
        <v>11</v>
      </c>
      <c r="R7" s="8" t="n">
        <v>13</v>
      </c>
      <c r="S7" s="8" t="n">
        <v>8</v>
      </c>
      <c r="T7" s="12" t="n">
        <f aca="false">IF($B7="","",MAX(0,N7+MIN(Q7,Settings!$B$17)+MIN(R7,Settings!$B$18)+MIN(S7,Settings!$B$19)-P7))</f>
        <v>69</v>
      </c>
      <c r="U7" s="13" t="n">
        <f aca="false">IF($B7="","",IF(J7&lt;L7,MIN(T7,Settings!$B$20),T7))</f>
        <v>69</v>
      </c>
      <c r="V7" s="9" t="str">
        <f aca="false">IF($B7="","",IF($D7="","Assign role",IF(J7&lt;L7,"Below total minimum - capped",IF(O7&gt;0,"Missed sprint minimum - deducted","OK"))))</f>
        <v>Missed sprint minimum - deducted</v>
      </c>
    </row>
    <row r="8" customFormat="false" ht="15" hidden="false" customHeight="false" outlineLevel="0" collapsed="false">
      <c r="A8" s="9" t="n">
        <f aca="false">Roster!A8</f>
        <v>4</v>
      </c>
      <c r="B8" s="9" t="str">
        <f aca="false">IF(Roster!B8="","",Roster!B8)</f>
        <v>Sample Student 4</v>
      </c>
      <c r="C8" s="9" t="str">
        <f aca="false">IF($B8="","",Roster!C8)</f>
        <v>Team A</v>
      </c>
      <c r="D8" s="9" t="str">
        <f aca="false">IF($B8="","",Roster!D8)</f>
        <v>UI/UX Designer</v>
      </c>
      <c r="E8" s="8" t="n">
        <v>4</v>
      </c>
      <c r="F8" s="8" t="n">
        <v>4</v>
      </c>
      <c r="G8" s="8" t="n">
        <v>5</v>
      </c>
      <c r="H8" s="8" t="n">
        <v>1</v>
      </c>
      <c r="I8" s="11" t="n">
        <f aca="false">IF($B8="","",SUM(E8:G8))</f>
        <v>13</v>
      </c>
      <c r="J8" s="12" t="n">
        <f aca="false">IF($B8="","",I8+MIN(H8,Settings!$B$23)*Settings!$B$22)</f>
        <v>13.5</v>
      </c>
      <c r="K8" s="11" t="n">
        <f aca="false">IF($B8="","",IFERROR(INDEX(Settings!$D$5:$D$9,MATCH($D8,Settings!$A$5:$A$9,0)),0))</f>
        <v>3</v>
      </c>
      <c r="L8" s="11" t="n">
        <f aca="false">IF($B8="","",IFERROR(INDEX(Settings!$E$5:$E$9,MATCH($D8,Settings!$A$5:$A$9,0)),0))</f>
        <v>9</v>
      </c>
      <c r="M8" s="11" t="n">
        <f aca="false">IF($B8="","",IFERROR(INDEX(Settings!$F$5:$F$9,MATCH($D8,Settings!$A$5:$A$9,0)),0))</f>
        <v>15</v>
      </c>
      <c r="N8" s="12" t="n">
        <f aca="false">IF($B8="","",IF(M8=0,0,ROUND(MIN(J8/M8,1)*Settings!$B$16,1)))</f>
        <v>54</v>
      </c>
      <c r="O8" s="11" t="n">
        <f aca="false">IF($B8="","",(E8&lt;K8)+(F8&lt;K8)+(G8&lt;K8))</f>
        <v>0</v>
      </c>
      <c r="P8" s="12" t="n">
        <f aca="false">IF($B8="","",O8*Settings!$B$21)</f>
        <v>0</v>
      </c>
      <c r="Q8" s="8" t="n">
        <v>14</v>
      </c>
      <c r="R8" s="8" t="n">
        <v>13</v>
      </c>
      <c r="S8" s="8" t="n">
        <v>9</v>
      </c>
      <c r="T8" s="12" t="n">
        <f aca="false">IF($B8="","",MAX(0,N8+MIN(Q8,Settings!$B$17)+MIN(R8,Settings!$B$18)+MIN(S8,Settings!$B$19)-P8))</f>
        <v>90</v>
      </c>
      <c r="U8" s="13" t="n">
        <f aca="false">IF($B8="","",IF(J8&lt;L8,MIN(T8,Settings!$B$20),T8))</f>
        <v>90</v>
      </c>
      <c r="V8" s="9" t="str">
        <f aca="false">IF($B8="","",IF($D8="","Assign role",IF(J8&lt;L8,"Below total minimum - capped",IF(O8&gt;0,"Missed sprint minimum - deducted","OK"))))</f>
        <v>OK</v>
      </c>
    </row>
    <row r="9" customFormat="false" ht="15" hidden="false" customHeight="false" outlineLevel="0" collapsed="false">
      <c r="A9" s="9" t="n">
        <f aca="false">Roster!A9</f>
        <v>5</v>
      </c>
      <c r="B9" s="9" t="str">
        <f aca="false">IF(Roster!B9="","",Roster!B9)</f>
        <v>Sample Student 5</v>
      </c>
      <c r="C9" s="9" t="str">
        <f aca="false">IF($B9="","",Roster!C9)</f>
        <v>Team A</v>
      </c>
      <c r="D9" s="9" t="str">
        <f aca="false">IF($B9="","",Roster!D9)</f>
        <v>Scrum Master</v>
      </c>
      <c r="E9" s="8" t="n">
        <v>3</v>
      </c>
      <c r="F9" s="8" t="n">
        <v>4</v>
      </c>
      <c r="G9" s="8" t="n">
        <v>3</v>
      </c>
      <c r="H9" s="8" t="n">
        <v>2</v>
      </c>
      <c r="I9" s="11" t="n">
        <f aca="false">IF($B9="","",SUM(E9:G9))</f>
        <v>10</v>
      </c>
      <c r="J9" s="12" t="n">
        <f aca="false">IF($B9="","",I9+MIN(H9,Settings!$B$23)*Settings!$B$22)</f>
        <v>11</v>
      </c>
      <c r="K9" s="11" t="n">
        <f aca="false">IF($B9="","",IFERROR(INDEX(Settings!$D$5:$D$9,MATCH($D9,Settings!$A$5:$A$9,0)),0))</f>
        <v>3</v>
      </c>
      <c r="L9" s="11" t="n">
        <f aca="false">IF($B9="","",IFERROR(INDEX(Settings!$E$5:$E$9,MATCH($D9,Settings!$A$5:$A$9,0)),0))</f>
        <v>9</v>
      </c>
      <c r="M9" s="11" t="n">
        <f aca="false">IF($B9="","",IFERROR(INDEX(Settings!$F$5:$F$9,MATCH($D9,Settings!$A$5:$A$9,0)),0))</f>
        <v>15</v>
      </c>
      <c r="N9" s="12" t="n">
        <f aca="false">IF($B9="","",IF(M9=0,0,ROUND(MIN(J9/M9,1)*Settings!$B$16,1)))</f>
        <v>44</v>
      </c>
      <c r="O9" s="11" t="n">
        <f aca="false">IF($B9="","",(E9&lt;K9)+(F9&lt;K9)+(G9&lt;K9))</f>
        <v>0</v>
      </c>
      <c r="P9" s="12" t="n">
        <f aca="false">IF($B9="","",O9*Settings!$B$21)</f>
        <v>0</v>
      </c>
      <c r="Q9" s="8" t="n">
        <v>13</v>
      </c>
      <c r="R9" s="8" t="n">
        <v>13</v>
      </c>
      <c r="S9" s="8" t="n">
        <v>10</v>
      </c>
      <c r="T9" s="12" t="n">
        <f aca="false">IF($B9="","",MAX(0,N9+MIN(Q9,Settings!$B$17)+MIN(R9,Settings!$B$18)+MIN(S9,Settings!$B$19)-P9))</f>
        <v>80</v>
      </c>
      <c r="U9" s="13" t="n">
        <f aca="false">IF($B9="","",IF(J9&lt;L9,MIN(T9,Settings!$B$20),T9))</f>
        <v>80</v>
      </c>
      <c r="V9" s="9" t="str">
        <f aca="false">IF($B9="","",IF($D9="","Assign role",IF(J9&lt;L9,"Below total minimum - capped",IF(O9&gt;0,"Missed sprint minimum - deducted","OK"))))</f>
        <v>OK</v>
      </c>
    </row>
    <row r="10" customFormat="false" ht="15" hidden="false" customHeight="false" outlineLevel="0" collapsed="false">
      <c r="A10" s="9" t="n">
        <f aca="false">Roster!A10</f>
        <v>6</v>
      </c>
      <c r="B10" s="9" t="str">
        <f aca="false">IF(Roster!B10="","",Roster!B10)</f>
        <v/>
      </c>
      <c r="C10" s="9" t="str">
        <f aca="false">IF($B10="","",Roster!C10)</f>
        <v/>
      </c>
      <c r="D10" s="9" t="str">
        <f aca="false">IF($B10="","",Roster!D10)</f>
        <v/>
      </c>
      <c r="E10" s="8"/>
      <c r="F10" s="8"/>
      <c r="G10" s="8"/>
      <c r="H10" s="8"/>
      <c r="I10" s="11" t="str">
        <f aca="false">IF($B10="","",SUM(E10:G10))</f>
        <v/>
      </c>
      <c r="J10" s="12" t="str">
        <f aca="false">IF($B10="","",I10+MIN(H10,Settings!$B$23)*Settings!$B$22)</f>
        <v/>
      </c>
      <c r="K10" s="11" t="str">
        <f aca="false">IF($B10="","",IFERROR(INDEX(Settings!$D$5:$D$9,MATCH($D10,Settings!$A$5:$A$9,0)),0))</f>
        <v/>
      </c>
      <c r="L10" s="11" t="str">
        <f aca="false">IF($B10="","",IFERROR(INDEX(Settings!$E$5:$E$9,MATCH($D10,Settings!$A$5:$A$9,0)),0))</f>
        <v/>
      </c>
      <c r="M10" s="11" t="str">
        <f aca="false">IF($B10="","",IFERROR(INDEX(Settings!$F$5:$F$9,MATCH($D10,Settings!$A$5:$A$9,0)),0))</f>
        <v/>
      </c>
      <c r="N10" s="12" t="str">
        <f aca="false">IF($B10="","",IF(M10=0,0,ROUND(MIN(J10/M10,1)*Settings!$B$16,1)))</f>
        <v/>
      </c>
      <c r="O10" s="11" t="str">
        <f aca="false">IF($B10="","",(E10&lt;K10)+(F10&lt;K10)+(G10&lt;K10))</f>
        <v/>
      </c>
      <c r="P10" s="12" t="str">
        <f aca="false">IF($B10="","",O10*Settings!$B$21)</f>
        <v/>
      </c>
      <c r="Q10" s="8"/>
      <c r="R10" s="8"/>
      <c r="S10" s="8"/>
      <c r="T10" s="12" t="str">
        <f aca="false">IF($B10="","",MAX(0,N10+MIN(Q10,Settings!$B$17)+MIN(R10,Settings!$B$18)+MIN(S10,Settings!$B$19)-P10))</f>
        <v/>
      </c>
      <c r="U10" s="13" t="str">
        <f aca="false">IF($B10="","",IF(J10&lt;L10,MIN(T10,Settings!$B$20),T10))</f>
        <v/>
      </c>
      <c r="V10" s="9" t="str">
        <f aca="false">IF($B10="","",IF($D10="","Assign role",IF(J10&lt;L10,"Below total minimum - capped",IF(O10&gt;0,"Missed sprint minimum - deducted","OK"))))</f>
        <v/>
      </c>
    </row>
    <row r="11" customFormat="false" ht="15" hidden="false" customHeight="false" outlineLevel="0" collapsed="false">
      <c r="A11" s="9" t="n">
        <f aca="false">Roster!A11</f>
        <v>7</v>
      </c>
      <c r="B11" s="9" t="str">
        <f aca="false">IF(Roster!B11="","",Roster!B11)</f>
        <v/>
      </c>
      <c r="C11" s="9" t="str">
        <f aca="false">IF($B11="","",Roster!C11)</f>
        <v/>
      </c>
      <c r="D11" s="9" t="str">
        <f aca="false">IF($B11="","",Roster!D11)</f>
        <v/>
      </c>
      <c r="E11" s="8"/>
      <c r="F11" s="8"/>
      <c r="G11" s="8"/>
      <c r="H11" s="8"/>
      <c r="I11" s="11" t="str">
        <f aca="false">IF($B11="","",SUM(E11:G11))</f>
        <v/>
      </c>
      <c r="J11" s="12" t="str">
        <f aca="false">IF($B11="","",I11+MIN(H11,Settings!$B$23)*Settings!$B$22)</f>
        <v/>
      </c>
      <c r="K11" s="11" t="str">
        <f aca="false">IF($B11="","",IFERROR(INDEX(Settings!$D$5:$D$9,MATCH($D11,Settings!$A$5:$A$9,0)),0))</f>
        <v/>
      </c>
      <c r="L11" s="11" t="str">
        <f aca="false">IF($B11="","",IFERROR(INDEX(Settings!$E$5:$E$9,MATCH($D11,Settings!$A$5:$A$9,0)),0))</f>
        <v/>
      </c>
      <c r="M11" s="11" t="str">
        <f aca="false">IF($B11="","",IFERROR(INDEX(Settings!$F$5:$F$9,MATCH($D11,Settings!$A$5:$A$9,0)),0))</f>
        <v/>
      </c>
      <c r="N11" s="12" t="str">
        <f aca="false">IF($B11="","",IF(M11=0,0,ROUND(MIN(J11/M11,1)*Settings!$B$16,1)))</f>
        <v/>
      </c>
      <c r="O11" s="11" t="str">
        <f aca="false">IF($B11="","",(E11&lt;K11)+(F11&lt;K11)+(G11&lt;K11))</f>
        <v/>
      </c>
      <c r="P11" s="12" t="str">
        <f aca="false">IF($B11="","",O11*Settings!$B$21)</f>
        <v/>
      </c>
      <c r="Q11" s="8"/>
      <c r="R11" s="8"/>
      <c r="S11" s="8"/>
      <c r="T11" s="12" t="str">
        <f aca="false">IF($B11="","",MAX(0,N11+MIN(Q11,Settings!$B$17)+MIN(R11,Settings!$B$18)+MIN(S11,Settings!$B$19)-P11))</f>
        <v/>
      </c>
      <c r="U11" s="13" t="str">
        <f aca="false">IF($B11="","",IF(J11&lt;L11,MIN(T11,Settings!$B$20),T11))</f>
        <v/>
      </c>
      <c r="V11" s="9" t="str">
        <f aca="false">IF($B11="","",IF($D11="","Assign role",IF(J11&lt;L11,"Below total minimum - capped",IF(O11&gt;0,"Missed sprint minimum - deducted","OK"))))</f>
        <v/>
      </c>
    </row>
    <row r="12" customFormat="false" ht="15" hidden="false" customHeight="false" outlineLevel="0" collapsed="false">
      <c r="A12" s="9" t="n">
        <f aca="false">Roster!A12</f>
        <v>8</v>
      </c>
      <c r="B12" s="9" t="str">
        <f aca="false">IF(Roster!B12="","",Roster!B12)</f>
        <v/>
      </c>
      <c r="C12" s="9" t="str">
        <f aca="false">IF($B12="","",Roster!C12)</f>
        <v/>
      </c>
      <c r="D12" s="9" t="str">
        <f aca="false">IF($B12="","",Roster!D12)</f>
        <v/>
      </c>
      <c r="E12" s="8"/>
      <c r="F12" s="8"/>
      <c r="G12" s="8"/>
      <c r="H12" s="8"/>
      <c r="I12" s="11" t="str">
        <f aca="false">IF($B12="","",SUM(E12:G12))</f>
        <v/>
      </c>
      <c r="J12" s="12" t="str">
        <f aca="false">IF($B12="","",I12+MIN(H12,Settings!$B$23)*Settings!$B$22)</f>
        <v/>
      </c>
      <c r="K12" s="11" t="str">
        <f aca="false">IF($B12="","",IFERROR(INDEX(Settings!$D$5:$D$9,MATCH($D12,Settings!$A$5:$A$9,0)),0))</f>
        <v/>
      </c>
      <c r="L12" s="11" t="str">
        <f aca="false">IF($B12="","",IFERROR(INDEX(Settings!$E$5:$E$9,MATCH($D12,Settings!$A$5:$A$9,0)),0))</f>
        <v/>
      </c>
      <c r="M12" s="11" t="str">
        <f aca="false">IF($B12="","",IFERROR(INDEX(Settings!$F$5:$F$9,MATCH($D12,Settings!$A$5:$A$9,0)),0))</f>
        <v/>
      </c>
      <c r="N12" s="12" t="str">
        <f aca="false">IF($B12="","",IF(M12=0,0,ROUND(MIN(J12/M12,1)*Settings!$B$16,1)))</f>
        <v/>
      </c>
      <c r="O12" s="11" t="str">
        <f aca="false">IF($B12="","",(E12&lt;K12)+(F12&lt;K12)+(G12&lt;K12))</f>
        <v/>
      </c>
      <c r="P12" s="12" t="str">
        <f aca="false">IF($B12="","",O12*Settings!$B$21)</f>
        <v/>
      </c>
      <c r="Q12" s="8"/>
      <c r="R12" s="8"/>
      <c r="S12" s="8"/>
      <c r="T12" s="12" t="str">
        <f aca="false">IF($B12="","",MAX(0,N12+MIN(Q12,Settings!$B$17)+MIN(R12,Settings!$B$18)+MIN(S12,Settings!$B$19)-P12))</f>
        <v/>
      </c>
      <c r="U12" s="13" t="str">
        <f aca="false">IF($B12="","",IF(J12&lt;L12,MIN(T12,Settings!$B$20),T12))</f>
        <v/>
      </c>
      <c r="V12" s="9" t="str">
        <f aca="false">IF($B12="","",IF($D12="","Assign role",IF(J12&lt;L12,"Below total minimum - capped",IF(O12&gt;0,"Missed sprint minimum - deducted","OK"))))</f>
        <v/>
      </c>
    </row>
    <row r="13" customFormat="false" ht="15" hidden="false" customHeight="false" outlineLevel="0" collapsed="false">
      <c r="A13" s="9" t="n">
        <f aca="false">Roster!A13</f>
        <v>9</v>
      </c>
      <c r="B13" s="9" t="str">
        <f aca="false">IF(Roster!B13="","",Roster!B13)</f>
        <v/>
      </c>
      <c r="C13" s="9" t="str">
        <f aca="false">IF($B13="","",Roster!C13)</f>
        <v/>
      </c>
      <c r="D13" s="9" t="str">
        <f aca="false">IF($B13="","",Roster!D13)</f>
        <v/>
      </c>
      <c r="E13" s="8"/>
      <c r="F13" s="8"/>
      <c r="G13" s="8"/>
      <c r="H13" s="8"/>
      <c r="I13" s="11" t="str">
        <f aca="false">IF($B13="","",SUM(E13:G13))</f>
        <v/>
      </c>
      <c r="J13" s="12" t="str">
        <f aca="false">IF($B13="","",I13+MIN(H13,Settings!$B$23)*Settings!$B$22)</f>
        <v/>
      </c>
      <c r="K13" s="11" t="str">
        <f aca="false">IF($B13="","",IFERROR(INDEX(Settings!$D$5:$D$9,MATCH($D13,Settings!$A$5:$A$9,0)),0))</f>
        <v/>
      </c>
      <c r="L13" s="11" t="str">
        <f aca="false">IF($B13="","",IFERROR(INDEX(Settings!$E$5:$E$9,MATCH($D13,Settings!$A$5:$A$9,0)),0))</f>
        <v/>
      </c>
      <c r="M13" s="11" t="str">
        <f aca="false">IF($B13="","",IFERROR(INDEX(Settings!$F$5:$F$9,MATCH($D13,Settings!$A$5:$A$9,0)),0))</f>
        <v/>
      </c>
      <c r="N13" s="12" t="str">
        <f aca="false">IF($B13="","",IF(M13=0,0,ROUND(MIN(J13/M13,1)*Settings!$B$16,1)))</f>
        <v/>
      </c>
      <c r="O13" s="11" t="str">
        <f aca="false">IF($B13="","",(E13&lt;K13)+(F13&lt;K13)+(G13&lt;K13))</f>
        <v/>
      </c>
      <c r="P13" s="12" t="str">
        <f aca="false">IF($B13="","",O13*Settings!$B$21)</f>
        <v/>
      </c>
      <c r="Q13" s="8"/>
      <c r="R13" s="8"/>
      <c r="S13" s="8"/>
      <c r="T13" s="12" t="str">
        <f aca="false">IF($B13="","",MAX(0,N13+MIN(Q13,Settings!$B$17)+MIN(R13,Settings!$B$18)+MIN(S13,Settings!$B$19)-P13))</f>
        <v/>
      </c>
      <c r="U13" s="13" t="str">
        <f aca="false">IF($B13="","",IF(J13&lt;L13,MIN(T13,Settings!$B$20),T13))</f>
        <v/>
      </c>
      <c r="V13" s="9" t="str">
        <f aca="false">IF($B13="","",IF($D13="","Assign role",IF(J13&lt;L13,"Below total minimum - capped",IF(O13&gt;0,"Missed sprint minimum - deducted","OK"))))</f>
        <v/>
      </c>
    </row>
    <row r="14" customFormat="false" ht="15" hidden="false" customHeight="false" outlineLevel="0" collapsed="false">
      <c r="A14" s="9" t="n">
        <f aca="false">Roster!A14</f>
        <v>10</v>
      </c>
      <c r="B14" s="9" t="str">
        <f aca="false">IF(Roster!B14="","",Roster!B14)</f>
        <v/>
      </c>
      <c r="C14" s="9" t="str">
        <f aca="false">IF($B14="","",Roster!C14)</f>
        <v/>
      </c>
      <c r="D14" s="9" t="str">
        <f aca="false">IF($B14="","",Roster!D14)</f>
        <v/>
      </c>
      <c r="E14" s="8"/>
      <c r="F14" s="8"/>
      <c r="G14" s="8"/>
      <c r="H14" s="8"/>
      <c r="I14" s="11" t="str">
        <f aca="false">IF($B14="","",SUM(E14:G14))</f>
        <v/>
      </c>
      <c r="J14" s="12" t="str">
        <f aca="false">IF($B14="","",I14+MIN(H14,Settings!$B$23)*Settings!$B$22)</f>
        <v/>
      </c>
      <c r="K14" s="11" t="str">
        <f aca="false">IF($B14="","",IFERROR(INDEX(Settings!$D$5:$D$9,MATCH($D14,Settings!$A$5:$A$9,0)),0))</f>
        <v/>
      </c>
      <c r="L14" s="11" t="str">
        <f aca="false">IF($B14="","",IFERROR(INDEX(Settings!$E$5:$E$9,MATCH($D14,Settings!$A$5:$A$9,0)),0))</f>
        <v/>
      </c>
      <c r="M14" s="11" t="str">
        <f aca="false">IF($B14="","",IFERROR(INDEX(Settings!$F$5:$F$9,MATCH($D14,Settings!$A$5:$A$9,0)),0))</f>
        <v/>
      </c>
      <c r="N14" s="12" t="str">
        <f aca="false">IF($B14="","",IF(M14=0,0,ROUND(MIN(J14/M14,1)*Settings!$B$16,1)))</f>
        <v/>
      </c>
      <c r="O14" s="11" t="str">
        <f aca="false">IF($B14="","",(E14&lt;K14)+(F14&lt;K14)+(G14&lt;K14))</f>
        <v/>
      </c>
      <c r="P14" s="12" t="str">
        <f aca="false">IF($B14="","",O14*Settings!$B$21)</f>
        <v/>
      </c>
      <c r="Q14" s="8"/>
      <c r="R14" s="8"/>
      <c r="S14" s="8"/>
      <c r="T14" s="12" t="str">
        <f aca="false">IF($B14="","",MAX(0,N14+MIN(Q14,Settings!$B$17)+MIN(R14,Settings!$B$18)+MIN(S14,Settings!$B$19)-P14))</f>
        <v/>
      </c>
      <c r="U14" s="13" t="str">
        <f aca="false">IF($B14="","",IF(J14&lt;L14,MIN(T14,Settings!$B$20),T14))</f>
        <v/>
      </c>
      <c r="V14" s="9" t="str">
        <f aca="false">IF($B14="","",IF($D14="","Assign role",IF(J14&lt;L14,"Below total minimum - capped",IF(O14&gt;0,"Missed sprint minimum - deducted","OK"))))</f>
        <v/>
      </c>
    </row>
    <row r="15" customFormat="false" ht="15" hidden="false" customHeight="false" outlineLevel="0" collapsed="false">
      <c r="A15" s="9" t="n">
        <f aca="false">Roster!A15</f>
        <v>11</v>
      </c>
      <c r="B15" s="9" t="str">
        <f aca="false">IF(Roster!B15="","",Roster!B15)</f>
        <v/>
      </c>
      <c r="C15" s="9" t="str">
        <f aca="false">IF($B15="","",Roster!C15)</f>
        <v/>
      </c>
      <c r="D15" s="9" t="str">
        <f aca="false">IF($B15="","",Roster!D15)</f>
        <v/>
      </c>
      <c r="E15" s="8"/>
      <c r="F15" s="8"/>
      <c r="G15" s="8"/>
      <c r="H15" s="8"/>
      <c r="I15" s="11" t="str">
        <f aca="false">IF($B15="","",SUM(E15:G15))</f>
        <v/>
      </c>
      <c r="J15" s="12" t="str">
        <f aca="false">IF($B15="","",I15+MIN(H15,Settings!$B$23)*Settings!$B$22)</f>
        <v/>
      </c>
      <c r="K15" s="11" t="str">
        <f aca="false">IF($B15="","",IFERROR(INDEX(Settings!$D$5:$D$9,MATCH($D15,Settings!$A$5:$A$9,0)),0))</f>
        <v/>
      </c>
      <c r="L15" s="11" t="str">
        <f aca="false">IF($B15="","",IFERROR(INDEX(Settings!$E$5:$E$9,MATCH($D15,Settings!$A$5:$A$9,0)),0))</f>
        <v/>
      </c>
      <c r="M15" s="11" t="str">
        <f aca="false">IF($B15="","",IFERROR(INDEX(Settings!$F$5:$F$9,MATCH($D15,Settings!$A$5:$A$9,0)),0))</f>
        <v/>
      </c>
      <c r="N15" s="12" t="str">
        <f aca="false">IF($B15="","",IF(M15=0,0,ROUND(MIN(J15/M15,1)*Settings!$B$16,1)))</f>
        <v/>
      </c>
      <c r="O15" s="11" t="str">
        <f aca="false">IF($B15="","",(E15&lt;K15)+(F15&lt;K15)+(G15&lt;K15))</f>
        <v/>
      </c>
      <c r="P15" s="12" t="str">
        <f aca="false">IF($B15="","",O15*Settings!$B$21)</f>
        <v/>
      </c>
      <c r="Q15" s="8"/>
      <c r="R15" s="8"/>
      <c r="S15" s="8"/>
      <c r="T15" s="12" t="str">
        <f aca="false">IF($B15="","",MAX(0,N15+MIN(Q15,Settings!$B$17)+MIN(R15,Settings!$B$18)+MIN(S15,Settings!$B$19)-P15))</f>
        <v/>
      </c>
      <c r="U15" s="13" t="str">
        <f aca="false">IF($B15="","",IF(J15&lt;L15,MIN(T15,Settings!$B$20),T15))</f>
        <v/>
      </c>
      <c r="V15" s="9" t="str">
        <f aca="false">IF($B15="","",IF($D15="","Assign role",IF(J15&lt;L15,"Below total minimum - capped",IF(O15&gt;0,"Missed sprint minimum - deducted","OK"))))</f>
        <v/>
      </c>
    </row>
    <row r="16" customFormat="false" ht="15" hidden="false" customHeight="false" outlineLevel="0" collapsed="false">
      <c r="A16" s="9" t="n">
        <f aca="false">Roster!A16</f>
        <v>12</v>
      </c>
      <c r="B16" s="9" t="str">
        <f aca="false">IF(Roster!B16="","",Roster!B16)</f>
        <v/>
      </c>
      <c r="C16" s="9" t="str">
        <f aca="false">IF($B16="","",Roster!C16)</f>
        <v/>
      </c>
      <c r="D16" s="9" t="str">
        <f aca="false">IF($B16="","",Roster!D16)</f>
        <v/>
      </c>
      <c r="E16" s="8"/>
      <c r="F16" s="8"/>
      <c r="G16" s="8"/>
      <c r="H16" s="8"/>
      <c r="I16" s="11" t="str">
        <f aca="false">IF($B16="","",SUM(E16:G16))</f>
        <v/>
      </c>
      <c r="J16" s="12" t="str">
        <f aca="false">IF($B16="","",I16+MIN(H16,Settings!$B$23)*Settings!$B$22)</f>
        <v/>
      </c>
      <c r="K16" s="11" t="str">
        <f aca="false">IF($B16="","",IFERROR(INDEX(Settings!$D$5:$D$9,MATCH($D16,Settings!$A$5:$A$9,0)),0))</f>
        <v/>
      </c>
      <c r="L16" s="11" t="str">
        <f aca="false">IF($B16="","",IFERROR(INDEX(Settings!$E$5:$E$9,MATCH($D16,Settings!$A$5:$A$9,0)),0))</f>
        <v/>
      </c>
      <c r="M16" s="11" t="str">
        <f aca="false">IF($B16="","",IFERROR(INDEX(Settings!$F$5:$F$9,MATCH($D16,Settings!$A$5:$A$9,0)),0))</f>
        <v/>
      </c>
      <c r="N16" s="12" t="str">
        <f aca="false">IF($B16="","",IF(M16=0,0,ROUND(MIN(J16/M16,1)*Settings!$B$16,1)))</f>
        <v/>
      </c>
      <c r="O16" s="11" t="str">
        <f aca="false">IF($B16="","",(E16&lt;K16)+(F16&lt;K16)+(G16&lt;K16))</f>
        <v/>
      </c>
      <c r="P16" s="12" t="str">
        <f aca="false">IF($B16="","",O16*Settings!$B$21)</f>
        <v/>
      </c>
      <c r="Q16" s="8"/>
      <c r="R16" s="8"/>
      <c r="S16" s="8"/>
      <c r="T16" s="12" t="str">
        <f aca="false">IF($B16="","",MAX(0,N16+MIN(Q16,Settings!$B$17)+MIN(R16,Settings!$B$18)+MIN(S16,Settings!$B$19)-P16))</f>
        <v/>
      </c>
      <c r="U16" s="13" t="str">
        <f aca="false">IF($B16="","",IF(J16&lt;L16,MIN(T16,Settings!$B$20),T16))</f>
        <v/>
      </c>
      <c r="V16" s="9" t="str">
        <f aca="false">IF($B16="","",IF($D16="","Assign role",IF(J16&lt;L16,"Below total minimum - capped",IF(O16&gt;0,"Missed sprint minimum - deducted","OK"))))</f>
        <v/>
      </c>
    </row>
    <row r="17" customFormat="false" ht="15" hidden="false" customHeight="false" outlineLevel="0" collapsed="false">
      <c r="A17" s="9" t="n">
        <f aca="false">Roster!A17</f>
        <v>13</v>
      </c>
      <c r="B17" s="9" t="str">
        <f aca="false">IF(Roster!B17="","",Roster!B17)</f>
        <v/>
      </c>
      <c r="C17" s="9" t="str">
        <f aca="false">IF($B17="","",Roster!C17)</f>
        <v/>
      </c>
      <c r="D17" s="9" t="str">
        <f aca="false">IF($B17="","",Roster!D17)</f>
        <v/>
      </c>
      <c r="E17" s="8"/>
      <c r="F17" s="8"/>
      <c r="G17" s="8"/>
      <c r="H17" s="8"/>
      <c r="I17" s="11" t="str">
        <f aca="false">IF($B17="","",SUM(E17:G17))</f>
        <v/>
      </c>
      <c r="J17" s="12" t="str">
        <f aca="false">IF($B17="","",I17+MIN(H17,Settings!$B$23)*Settings!$B$22)</f>
        <v/>
      </c>
      <c r="K17" s="11" t="str">
        <f aca="false">IF($B17="","",IFERROR(INDEX(Settings!$D$5:$D$9,MATCH($D17,Settings!$A$5:$A$9,0)),0))</f>
        <v/>
      </c>
      <c r="L17" s="11" t="str">
        <f aca="false">IF($B17="","",IFERROR(INDEX(Settings!$E$5:$E$9,MATCH($D17,Settings!$A$5:$A$9,0)),0))</f>
        <v/>
      </c>
      <c r="M17" s="11" t="str">
        <f aca="false">IF($B17="","",IFERROR(INDEX(Settings!$F$5:$F$9,MATCH($D17,Settings!$A$5:$A$9,0)),0))</f>
        <v/>
      </c>
      <c r="N17" s="12" t="str">
        <f aca="false">IF($B17="","",IF(M17=0,0,ROUND(MIN(J17/M17,1)*Settings!$B$16,1)))</f>
        <v/>
      </c>
      <c r="O17" s="11" t="str">
        <f aca="false">IF($B17="","",(E17&lt;K17)+(F17&lt;K17)+(G17&lt;K17))</f>
        <v/>
      </c>
      <c r="P17" s="12" t="str">
        <f aca="false">IF($B17="","",O17*Settings!$B$21)</f>
        <v/>
      </c>
      <c r="Q17" s="8"/>
      <c r="R17" s="8"/>
      <c r="S17" s="8"/>
      <c r="T17" s="12" t="str">
        <f aca="false">IF($B17="","",MAX(0,N17+MIN(Q17,Settings!$B$17)+MIN(R17,Settings!$B$18)+MIN(S17,Settings!$B$19)-P17))</f>
        <v/>
      </c>
      <c r="U17" s="13" t="str">
        <f aca="false">IF($B17="","",IF(J17&lt;L17,MIN(T17,Settings!$B$20),T17))</f>
        <v/>
      </c>
      <c r="V17" s="9" t="str">
        <f aca="false">IF($B17="","",IF($D17="","Assign role",IF(J17&lt;L17,"Below total minimum - capped",IF(O17&gt;0,"Missed sprint minimum - deducted","OK"))))</f>
        <v/>
      </c>
    </row>
    <row r="18" customFormat="false" ht="15" hidden="false" customHeight="false" outlineLevel="0" collapsed="false">
      <c r="A18" s="9" t="n">
        <f aca="false">Roster!A18</f>
        <v>14</v>
      </c>
      <c r="B18" s="9" t="str">
        <f aca="false">IF(Roster!B18="","",Roster!B18)</f>
        <v/>
      </c>
      <c r="C18" s="9" t="str">
        <f aca="false">IF($B18="","",Roster!C18)</f>
        <v/>
      </c>
      <c r="D18" s="9" t="str">
        <f aca="false">IF($B18="","",Roster!D18)</f>
        <v/>
      </c>
      <c r="E18" s="8"/>
      <c r="F18" s="8"/>
      <c r="G18" s="8"/>
      <c r="H18" s="8"/>
      <c r="I18" s="11" t="str">
        <f aca="false">IF($B18="","",SUM(E18:G18))</f>
        <v/>
      </c>
      <c r="J18" s="12" t="str">
        <f aca="false">IF($B18="","",I18+MIN(H18,Settings!$B$23)*Settings!$B$22)</f>
        <v/>
      </c>
      <c r="K18" s="11" t="str">
        <f aca="false">IF($B18="","",IFERROR(INDEX(Settings!$D$5:$D$9,MATCH($D18,Settings!$A$5:$A$9,0)),0))</f>
        <v/>
      </c>
      <c r="L18" s="11" t="str">
        <f aca="false">IF($B18="","",IFERROR(INDEX(Settings!$E$5:$E$9,MATCH($D18,Settings!$A$5:$A$9,0)),0))</f>
        <v/>
      </c>
      <c r="M18" s="11" t="str">
        <f aca="false">IF($B18="","",IFERROR(INDEX(Settings!$F$5:$F$9,MATCH($D18,Settings!$A$5:$A$9,0)),0))</f>
        <v/>
      </c>
      <c r="N18" s="12" t="str">
        <f aca="false">IF($B18="","",IF(M18=0,0,ROUND(MIN(J18/M18,1)*Settings!$B$16,1)))</f>
        <v/>
      </c>
      <c r="O18" s="11" t="str">
        <f aca="false">IF($B18="","",(E18&lt;K18)+(F18&lt;K18)+(G18&lt;K18))</f>
        <v/>
      </c>
      <c r="P18" s="12" t="str">
        <f aca="false">IF($B18="","",O18*Settings!$B$21)</f>
        <v/>
      </c>
      <c r="Q18" s="8"/>
      <c r="R18" s="8"/>
      <c r="S18" s="8"/>
      <c r="T18" s="12" t="str">
        <f aca="false">IF($B18="","",MAX(0,N18+MIN(Q18,Settings!$B$17)+MIN(R18,Settings!$B$18)+MIN(S18,Settings!$B$19)-P18))</f>
        <v/>
      </c>
      <c r="U18" s="13" t="str">
        <f aca="false">IF($B18="","",IF(J18&lt;L18,MIN(T18,Settings!$B$20),T18))</f>
        <v/>
      </c>
      <c r="V18" s="9" t="str">
        <f aca="false">IF($B18="","",IF($D18="","Assign role",IF(J18&lt;L18,"Below total minimum - capped",IF(O18&gt;0,"Missed sprint minimum - deducted","OK"))))</f>
        <v/>
      </c>
    </row>
    <row r="19" customFormat="false" ht="15" hidden="false" customHeight="false" outlineLevel="0" collapsed="false">
      <c r="A19" s="9" t="n">
        <f aca="false">Roster!A19</f>
        <v>15</v>
      </c>
      <c r="B19" s="9" t="str">
        <f aca="false">IF(Roster!B19="","",Roster!B19)</f>
        <v/>
      </c>
      <c r="C19" s="9" t="str">
        <f aca="false">IF($B19="","",Roster!C19)</f>
        <v/>
      </c>
      <c r="D19" s="9" t="str">
        <f aca="false">IF($B19="","",Roster!D19)</f>
        <v/>
      </c>
      <c r="E19" s="8"/>
      <c r="F19" s="8"/>
      <c r="G19" s="8"/>
      <c r="H19" s="8"/>
      <c r="I19" s="11" t="str">
        <f aca="false">IF($B19="","",SUM(E19:G19))</f>
        <v/>
      </c>
      <c r="J19" s="12" t="str">
        <f aca="false">IF($B19="","",I19+MIN(H19,Settings!$B$23)*Settings!$B$22)</f>
        <v/>
      </c>
      <c r="K19" s="11" t="str">
        <f aca="false">IF($B19="","",IFERROR(INDEX(Settings!$D$5:$D$9,MATCH($D19,Settings!$A$5:$A$9,0)),0))</f>
        <v/>
      </c>
      <c r="L19" s="11" t="str">
        <f aca="false">IF($B19="","",IFERROR(INDEX(Settings!$E$5:$E$9,MATCH($D19,Settings!$A$5:$A$9,0)),0))</f>
        <v/>
      </c>
      <c r="M19" s="11" t="str">
        <f aca="false">IF($B19="","",IFERROR(INDEX(Settings!$F$5:$F$9,MATCH($D19,Settings!$A$5:$A$9,0)),0))</f>
        <v/>
      </c>
      <c r="N19" s="12" t="str">
        <f aca="false">IF($B19="","",IF(M19=0,0,ROUND(MIN(J19/M19,1)*Settings!$B$16,1)))</f>
        <v/>
      </c>
      <c r="O19" s="11" t="str">
        <f aca="false">IF($B19="","",(E19&lt;K19)+(F19&lt;K19)+(G19&lt;K19))</f>
        <v/>
      </c>
      <c r="P19" s="12" t="str">
        <f aca="false">IF($B19="","",O19*Settings!$B$21)</f>
        <v/>
      </c>
      <c r="Q19" s="8"/>
      <c r="R19" s="8"/>
      <c r="S19" s="8"/>
      <c r="T19" s="12" t="str">
        <f aca="false">IF($B19="","",MAX(0,N19+MIN(Q19,Settings!$B$17)+MIN(R19,Settings!$B$18)+MIN(S19,Settings!$B$19)-P19))</f>
        <v/>
      </c>
      <c r="U19" s="13" t="str">
        <f aca="false">IF($B19="","",IF(J19&lt;L19,MIN(T19,Settings!$B$20),T19))</f>
        <v/>
      </c>
      <c r="V19" s="9" t="str">
        <f aca="false">IF($B19="","",IF($D19="","Assign role",IF(J19&lt;L19,"Below total minimum - capped",IF(O19&gt;0,"Missed sprint minimum - deducted","OK"))))</f>
        <v/>
      </c>
    </row>
    <row r="20" customFormat="false" ht="15" hidden="false" customHeight="false" outlineLevel="0" collapsed="false">
      <c r="A20" s="9" t="n">
        <f aca="false">Roster!A20</f>
        <v>16</v>
      </c>
      <c r="B20" s="9" t="str">
        <f aca="false">IF(Roster!B20="","",Roster!B20)</f>
        <v/>
      </c>
      <c r="C20" s="9" t="str">
        <f aca="false">IF($B20="","",Roster!C20)</f>
        <v/>
      </c>
      <c r="D20" s="9" t="str">
        <f aca="false">IF($B20="","",Roster!D20)</f>
        <v/>
      </c>
      <c r="E20" s="8"/>
      <c r="F20" s="8"/>
      <c r="G20" s="8"/>
      <c r="H20" s="8"/>
      <c r="I20" s="11" t="str">
        <f aca="false">IF($B20="","",SUM(E20:G20))</f>
        <v/>
      </c>
      <c r="J20" s="12" t="str">
        <f aca="false">IF($B20="","",I20+MIN(H20,Settings!$B$23)*Settings!$B$22)</f>
        <v/>
      </c>
      <c r="K20" s="11" t="str">
        <f aca="false">IF($B20="","",IFERROR(INDEX(Settings!$D$5:$D$9,MATCH($D20,Settings!$A$5:$A$9,0)),0))</f>
        <v/>
      </c>
      <c r="L20" s="11" t="str">
        <f aca="false">IF($B20="","",IFERROR(INDEX(Settings!$E$5:$E$9,MATCH($D20,Settings!$A$5:$A$9,0)),0))</f>
        <v/>
      </c>
      <c r="M20" s="11" t="str">
        <f aca="false">IF($B20="","",IFERROR(INDEX(Settings!$F$5:$F$9,MATCH($D20,Settings!$A$5:$A$9,0)),0))</f>
        <v/>
      </c>
      <c r="N20" s="12" t="str">
        <f aca="false">IF($B20="","",IF(M20=0,0,ROUND(MIN(J20/M20,1)*Settings!$B$16,1)))</f>
        <v/>
      </c>
      <c r="O20" s="11" t="str">
        <f aca="false">IF($B20="","",(E20&lt;K20)+(F20&lt;K20)+(G20&lt;K20))</f>
        <v/>
      </c>
      <c r="P20" s="12" t="str">
        <f aca="false">IF($B20="","",O20*Settings!$B$21)</f>
        <v/>
      </c>
      <c r="Q20" s="8"/>
      <c r="R20" s="8"/>
      <c r="S20" s="8"/>
      <c r="T20" s="12" t="str">
        <f aca="false">IF($B20="","",MAX(0,N20+MIN(Q20,Settings!$B$17)+MIN(R20,Settings!$B$18)+MIN(S20,Settings!$B$19)-P20))</f>
        <v/>
      </c>
      <c r="U20" s="13" t="str">
        <f aca="false">IF($B20="","",IF(J20&lt;L20,MIN(T20,Settings!$B$20),T20))</f>
        <v/>
      </c>
      <c r="V20" s="9" t="str">
        <f aca="false">IF($B20="","",IF($D20="","Assign role",IF(J20&lt;L20,"Below total minimum - capped",IF(O20&gt;0,"Missed sprint minimum - deducted","OK"))))</f>
        <v/>
      </c>
    </row>
    <row r="21" customFormat="false" ht="15" hidden="false" customHeight="false" outlineLevel="0" collapsed="false">
      <c r="A21" s="9" t="n">
        <f aca="false">Roster!A21</f>
        <v>17</v>
      </c>
      <c r="B21" s="9" t="str">
        <f aca="false">IF(Roster!B21="","",Roster!B21)</f>
        <v/>
      </c>
      <c r="C21" s="9" t="str">
        <f aca="false">IF($B21="","",Roster!C21)</f>
        <v/>
      </c>
      <c r="D21" s="9" t="str">
        <f aca="false">IF($B21="","",Roster!D21)</f>
        <v/>
      </c>
      <c r="E21" s="8"/>
      <c r="F21" s="8"/>
      <c r="G21" s="8"/>
      <c r="H21" s="8"/>
      <c r="I21" s="11" t="str">
        <f aca="false">IF($B21="","",SUM(E21:G21))</f>
        <v/>
      </c>
      <c r="J21" s="12" t="str">
        <f aca="false">IF($B21="","",I21+MIN(H21,Settings!$B$23)*Settings!$B$22)</f>
        <v/>
      </c>
      <c r="K21" s="11" t="str">
        <f aca="false">IF($B21="","",IFERROR(INDEX(Settings!$D$5:$D$9,MATCH($D21,Settings!$A$5:$A$9,0)),0))</f>
        <v/>
      </c>
      <c r="L21" s="11" t="str">
        <f aca="false">IF($B21="","",IFERROR(INDEX(Settings!$E$5:$E$9,MATCH($D21,Settings!$A$5:$A$9,0)),0))</f>
        <v/>
      </c>
      <c r="M21" s="11" t="str">
        <f aca="false">IF($B21="","",IFERROR(INDEX(Settings!$F$5:$F$9,MATCH($D21,Settings!$A$5:$A$9,0)),0))</f>
        <v/>
      </c>
      <c r="N21" s="12" t="str">
        <f aca="false">IF($B21="","",IF(M21=0,0,ROUND(MIN(J21/M21,1)*Settings!$B$16,1)))</f>
        <v/>
      </c>
      <c r="O21" s="11" t="str">
        <f aca="false">IF($B21="","",(E21&lt;K21)+(F21&lt;K21)+(G21&lt;K21))</f>
        <v/>
      </c>
      <c r="P21" s="12" t="str">
        <f aca="false">IF($B21="","",O21*Settings!$B$21)</f>
        <v/>
      </c>
      <c r="Q21" s="8"/>
      <c r="R21" s="8"/>
      <c r="S21" s="8"/>
      <c r="T21" s="12" t="str">
        <f aca="false">IF($B21="","",MAX(0,N21+MIN(Q21,Settings!$B$17)+MIN(R21,Settings!$B$18)+MIN(S21,Settings!$B$19)-P21))</f>
        <v/>
      </c>
      <c r="U21" s="13" t="str">
        <f aca="false">IF($B21="","",IF(J21&lt;L21,MIN(T21,Settings!$B$20),T21))</f>
        <v/>
      </c>
      <c r="V21" s="9" t="str">
        <f aca="false">IF($B21="","",IF($D21="","Assign role",IF(J21&lt;L21,"Below total minimum - capped",IF(O21&gt;0,"Missed sprint minimum - deducted","OK"))))</f>
        <v/>
      </c>
    </row>
    <row r="22" customFormat="false" ht="15" hidden="false" customHeight="false" outlineLevel="0" collapsed="false">
      <c r="A22" s="9" t="n">
        <f aca="false">Roster!A22</f>
        <v>18</v>
      </c>
      <c r="B22" s="9" t="str">
        <f aca="false">IF(Roster!B22="","",Roster!B22)</f>
        <v/>
      </c>
      <c r="C22" s="9" t="str">
        <f aca="false">IF($B22="","",Roster!C22)</f>
        <v/>
      </c>
      <c r="D22" s="9" t="str">
        <f aca="false">IF($B22="","",Roster!D22)</f>
        <v/>
      </c>
      <c r="E22" s="8"/>
      <c r="F22" s="8"/>
      <c r="G22" s="8"/>
      <c r="H22" s="8"/>
      <c r="I22" s="11" t="str">
        <f aca="false">IF($B22="","",SUM(E22:G22))</f>
        <v/>
      </c>
      <c r="J22" s="12" t="str">
        <f aca="false">IF($B22="","",I22+MIN(H22,Settings!$B$23)*Settings!$B$22)</f>
        <v/>
      </c>
      <c r="K22" s="11" t="str">
        <f aca="false">IF($B22="","",IFERROR(INDEX(Settings!$D$5:$D$9,MATCH($D22,Settings!$A$5:$A$9,0)),0))</f>
        <v/>
      </c>
      <c r="L22" s="11" t="str">
        <f aca="false">IF($B22="","",IFERROR(INDEX(Settings!$E$5:$E$9,MATCH($D22,Settings!$A$5:$A$9,0)),0))</f>
        <v/>
      </c>
      <c r="M22" s="11" t="str">
        <f aca="false">IF($B22="","",IFERROR(INDEX(Settings!$F$5:$F$9,MATCH($D22,Settings!$A$5:$A$9,0)),0))</f>
        <v/>
      </c>
      <c r="N22" s="12" t="str">
        <f aca="false">IF($B22="","",IF(M22=0,0,ROUND(MIN(J22/M22,1)*Settings!$B$16,1)))</f>
        <v/>
      </c>
      <c r="O22" s="11" t="str">
        <f aca="false">IF($B22="","",(E22&lt;K22)+(F22&lt;K22)+(G22&lt;K22))</f>
        <v/>
      </c>
      <c r="P22" s="12" t="str">
        <f aca="false">IF($B22="","",O22*Settings!$B$21)</f>
        <v/>
      </c>
      <c r="Q22" s="8"/>
      <c r="R22" s="8"/>
      <c r="S22" s="8"/>
      <c r="T22" s="12" t="str">
        <f aca="false">IF($B22="","",MAX(0,N22+MIN(Q22,Settings!$B$17)+MIN(R22,Settings!$B$18)+MIN(S22,Settings!$B$19)-P22))</f>
        <v/>
      </c>
      <c r="U22" s="13" t="str">
        <f aca="false">IF($B22="","",IF(J22&lt;L22,MIN(T22,Settings!$B$20),T22))</f>
        <v/>
      </c>
      <c r="V22" s="9" t="str">
        <f aca="false">IF($B22="","",IF($D22="","Assign role",IF(J22&lt;L22,"Below total minimum - capped",IF(O22&gt;0,"Missed sprint minimum - deducted","OK"))))</f>
        <v/>
      </c>
    </row>
    <row r="23" customFormat="false" ht="15" hidden="false" customHeight="false" outlineLevel="0" collapsed="false">
      <c r="A23" s="9" t="n">
        <f aca="false">Roster!A23</f>
        <v>19</v>
      </c>
      <c r="B23" s="9" t="str">
        <f aca="false">IF(Roster!B23="","",Roster!B23)</f>
        <v/>
      </c>
      <c r="C23" s="9" t="str">
        <f aca="false">IF($B23="","",Roster!C23)</f>
        <v/>
      </c>
      <c r="D23" s="9" t="str">
        <f aca="false">IF($B23="","",Roster!D23)</f>
        <v/>
      </c>
      <c r="E23" s="8"/>
      <c r="F23" s="8"/>
      <c r="G23" s="8"/>
      <c r="H23" s="8"/>
      <c r="I23" s="11" t="str">
        <f aca="false">IF($B23="","",SUM(E23:G23))</f>
        <v/>
      </c>
      <c r="J23" s="12" t="str">
        <f aca="false">IF($B23="","",I23+MIN(H23,Settings!$B$23)*Settings!$B$22)</f>
        <v/>
      </c>
      <c r="K23" s="11" t="str">
        <f aca="false">IF($B23="","",IFERROR(INDEX(Settings!$D$5:$D$9,MATCH($D23,Settings!$A$5:$A$9,0)),0))</f>
        <v/>
      </c>
      <c r="L23" s="11" t="str">
        <f aca="false">IF($B23="","",IFERROR(INDEX(Settings!$E$5:$E$9,MATCH($D23,Settings!$A$5:$A$9,0)),0))</f>
        <v/>
      </c>
      <c r="M23" s="11" t="str">
        <f aca="false">IF($B23="","",IFERROR(INDEX(Settings!$F$5:$F$9,MATCH($D23,Settings!$A$5:$A$9,0)),0))</f>
        <v/>
      </c>
      <c r="N23" s="12" t="str">
        <f aca="false">IF($B23="","",IF(M23=0,0,ROUND(MIN(J23/M23,1)*Settings!$B$16,1)))</f>
        <v/>
      </c>
      <c r="O23" s="11" t="str">
        <f aca="false">IF($B23="","",(E23&lt;K23)+(F23&lt;K23)+(G23&lt;K23))</f>
        <v/>
      </c>
      <c r="P23" s="12" t="str">
        <f aca="false">IF($B23="","",O23*Settings!$B$21)</f>
        <v/>
      </c>
      <c r="Q23" s="8"/>
      <c r="R23" s="8"/>
      <c r="S23" s="8"/>
      <c r="T23" s="12" t="str">
        <f aca="false">IF($B23="","",MAX(0,N23+MIN(Q23,Settings!$B$17)+MIN(R23,Settings!$B$18)+MIN(S23,Settings!$B$19)-P23))</f>
        <v/>
      </c>
      <c r="U23" s="13" t="str">
        <f aca="false">IF($B23="","",IF(J23&lt;L23,MIN(T23,Settings!$B$20),T23))</f>
        <v/>
      </c>
      <c r="V23" s="9" t="str">
        <f aca="false">IF($B23="","",IF($D23="","Assign role",IF(J23&lt;L23,"Below total minimum - capped",IF(O23&gt;0,"Missed sprint minimum - deducted","OK"))))</f>
        <v/>
      </c>
    </row>
    <row r="24" customFormat="false" ht="15" hidden="false" customHeight="false" outlineLevel="0" collapsed="false">
      <c r="A24" s="9" t="n">
        <f aca="false">Roster!A24</f>
        <v>20</v>
      </c>
      <c r="B24" s="9" t="str">
        <f aca="false">IF(Roster!B24="","",Roster!B24)</f>
        <v/>
      </c>
      <c r="C24" s="9" t="str">
        <f aca="false">IF($B24="","",Roster!C24)</f>
        <v/>
      </c>
      <c r="D24" s="9" t="str">
        <f aca="false">IF($B24="","",Roster!D24)</f>
        <v/>
      </c>
      <c r="E24" s="8"/>
      <c r="F24" s="8"/>
      <c r="G24" s="8"/>
      <c r="H24" s="8"/>
      <c r="I24" s="11" t="str">
        <f aca="false">IF($B24="","",SUM(E24:G24))</f>
        <v/>
      </c>
      <c r="J24" s="12" t="str">
        <f aca="false">IF($B24="","",I24+MIN(H24,Settings!$B$23)*Settings!$B$22)</f>
        <v/>
      </c>
      <c r="K24" s="11" t="str">
        <f aca="false">IF($B24="","",IFERROR(INDEX(Settings!$D$5:$D$9,MATCH($D24,Settings!$A$5:$A$9,0)),0))</f>
        <v/>
      </c>
      <c r="L24" s="11" t="str">
        <f aca="false">IF($B24="","",IFERROR(INDEX(Settings!$E$5:$E$9,MATCH($D24,Settings!$A$5:$A$9,0)),0))</f>
        <v/>
      </c>
      <c r="M24" s="11" t="str">
        <f aca="false">IF($B24="","",IFERROR(INDEX(Settings!$F$5:$F$9,MATCH($D24,Settings!$A$5:$A$9,0)),0))</f>
        <v/>
      </c>
      <c r="N24" s="12" t="str">
        <f aca="false">IF($B24="","",IF(M24=0,0,ROUND(MIN(J24/M24,1)*Settings!$B$16,1)))</f>
        <v/>
      </c>
      <c r="O24" s="11" t="str">
        <f aca="false">IF($B24="","",(E24&lt;K24)+(F24&lt;K24)+(G24&lt;K24))</f>
        <v/>
      </c>
      <c r="P24" s="12" t="str">
        <f aca="false">IF($B24="","",O24*Settings!$B$21)</f>
        <v/>
      </c>
      <c r="Q24" s="8"/>
      <c r="R24" s="8"/>
      <c r="S24" s="8"/>
      <c r="T24" s="12" t="str">
        <f aca="false">IF($B24="","",MAX(0,N24+MIN(Q24,Settings!$B$17)+MIN(R24,Settings!$B$18)+MIN(S24,Settings!$B$19)-P24))</f>
        <v/>
      </c>
      <c r="U24" s="13" t="str">
        <f aca="false">IF($B24="","",IF(J24&lt;L24,MIN(T24,Settings!$B$20),T24))</f>
        <v/>
      </c>
      <c r="V24" s="9" t="str">
        <f aca="false">IF($B24="","",IF($D24="","Assign role",IF(J24&lt;L24,"Below total minimum - capped",IF(O24&gt;0,"Missed sprint minimum - deducted","OK"))))</f>
        <v/>
      </c>
    </row>
    <row r="25" customFormat="false" ht="15" hidden="false" customHeight="false" outlineLevel="0" collapsed="false">
      <c r="A25" s="9" t="n">
        <f aca="false">Roster!A25</f>
        <v>21</v>
      </c>
      <c r="B25" s="9" t="str">
        <f aca="false">IF(Roster!B25="","",Roster!B25)</f>
        <v/>
      </c>
      <c r="C25" s="9" t="str">
        <f aca="false">IF($B25="","",Roster!C25)</f>
        <v/>
      </c>
      <c r="D25" s="9" t="str">
        <f aca="false">IF($B25="","",Roster!D25)</f>
        <v/>
      </c>
      <c r="E25" s="8"/>
      <c r="F25" s="8"/>
      <c r="G25" s="8"/>
      <c r="H25" s="8"/>
      <c r="I25" s="11" t="str">
        <f aca="false">IF($B25="","",SUM(E25:G25))</f>
        <v/>
      </c>
      <c r="J25" s="12" t="str">
        <f aca="false">IF($B25="","",I25+MIN(H25,Settings!$B$23)*Settings!$B$22)</f>
        <v/>
      </c>
      <c r="K25" s="11" t="str">
        <f aca="false">IF($B25="","",IFERROR(INDEX(Settings!$D$5:$D$9,MATCH($D25,Settings!$A$5:$A$9,0)),0))</f>
        <v/>
      </c>
      <c r="L25" s="11" t="str">
        <f aca="false">IF($B25="","",IFERROR(INDEX(Settings!$E$5:$E$9,MATCH($D25,Settings!$A$5:$A$9,0)),0))</f>
        <v/>
      </c>
      <c r="M25" s="11" t="str">
        <f aca="false">IF($B25="","",IFERROR(INDEX(Settings!$F$5:$F$9,MATCH($D25,Settings!$A$5:$A$9,0)),0))</f>
        <v/>
      </c>
      <c r="N25" s="12" t="str">
        <f aca="false">IF($B25="","",IF(M25=0,0,ROUND(MIN(J25/M25,1)*Settings!$B$16,1)))</f>
        <v/>
      </c>
      <c r="O25" s="11" t="str">
        <f aca="false">IF($B25="","",(E25&lt;K25)+(F25&lt;K25)+(G25&lt;K25))</f>
        <v/>
      </c>
      <c r="P25" s="12" t="str">
        <f aca="false">IF($B25="","",O25*Settings!$B$21)</f>
        <v/>
      </c>
      <c r="Q25" s="8"/>
      <c r="R25" s="8"/>
      <c r="S25" s="8"/>
      <c r="T25" s="12" t="str">
        <f aca="false">IF($B25="","",MAX(0,N25+MIN(Q25,Settings!$B$17)+MIN(R25,Settings!$B$18)+MIN(S25,Settings!$B$19)-P25))</f>
        <v/>
      </c>
      <c r="U25" s="13" t="str">
        <f aca="false">IF($B25="","",IF(J25&lt;L25,MIN(T25,Settings!$B$20),T25))</f>
        <v/>
      </c>
      <c r="V25" s="9" t="str">
        <f aca="false">IF($B25="","",IF($D25="","Assign role",IF(J25&lt;L25,"Below total minimum - capped",IF(O25&gt;0,"Missed sprint minimum - deducted","OK"))))</f>
        <v/>
      </c>
    </row>
    <row r="26" customFormat="false" ht="15" hidden="false" customHeight="false" outlineLevel="0" collapsed="false">
      <c r="A26" s="9" t="n">
        <f aca="false">Roster!A26</f>
        <v>22</v>
      </c>
      <c r="B26" s="9" t="str">
        <f aca="false">IF(Roster!B26="","",Roster!B26)</f>
        <v/>
      </c>
      <c r="C26" s="9" t="str">
        <f aca="false">IF($B26="","",Roster!C26)</f>
        <v/>
      </c>
      <c r="D26" s="9" t="str">
        <f aca="false">IF($B26="","",Roster!D26)</f>
        <v/>
      </c>
      <c r="E26" s="8"/>
      <c r="F26" s="8"/>
      <c r="G26" s="8"/>
      <c r="H26" s="8"/>
      <c r="I26" s="11" t="str">
        <f aca="false">IF($B26="","",SUM(E26:G26))</f>
        <v/>
      </c>
      <c r="J26" s="12" t="str">
        <f aca="false">IF($B26="","",I26+MIN(H26,Settings!$B$23)*Settings!$B$22)</f>
        <v/>
      </c>
      <c r="K26" s="11" t="str">
        <f aca="false">IF($B26="","",IFERROR(INDEX(Settings!$D$5:$D$9,MATCH($D26,Settings!$A$5:$A$9,0)),0))</f>
        <v/>
      </c>
      <c r="L26" s="11" t="str">
        <f aca="false">IF($B26="","",IFERROR(INDEX(Settings!$E$5:$E$9,MATCH($D26,Settings!$A$5:$A$9,0)),0))</f>
        <v/>
      </c>
      <c r="M26" s="11" t="str">
        <f aca="false">IF($B26="","",IFERROR(INDEX(Settings!$F$5:$F$9,MATCH($D26,Settings!$A$5:$A$9,0)),0))</f>
        <v/>
      </c>
      <c r="N26" s="12" t="str">
        <f aca="false">IF($B26="","",IF(M26=0,0,ROUND(MIN(J26/M26,1)*Settings!$B$16,1)))</f>
        <v/>
      </c>
      <c r="O26" s="11" t="str">
        <f aca="false">IF($B26="","",(E26&lt;K26)+(F26&lt;K26)+(G26&lt;K26))</f>
        <v/>
      </c>
      <c r="P26" s="12" t="str">
        <f aca="false">IF($B26="","",O26*Settings!$B$21)</f>
        <v/>
      </c>
      <c r="Q26" s="8"/>
      <c r="R26" s="8"/>
      <c r="S26" s="8"/>
      <c r="T26" s="12" t="str">
        <f aca="false">IF($B26="","",MAX(0,N26+MIN(Q26,Settings!$B$17)+MIN(R26,Settings!$B$18)+MIN(S26,Settings!$B$19)-P26))</f>
        <v/>
      </c>
      <c r="U26" s="13" t="str">
        <f aca="false">IF($B26="","",IF(J26&lt;L26,MIN(T26,Settings!$B$20),T26))</f>
        <v/>
      </c>
      <c r="V26" s="9" t="str">
        <f aca="false">IF($B26="","",IF($D26="","Assign role",IF(J26&lt;L26,"Below total minimum - capped",IF(O26&gt;0,"Missed sprint minimum - deducted","OK"))))</f>
        <v/>
      </c>
    </row>
    <row r="27" customFormat="false" ht="15" hidden="false" customHeight="false" outlineLevel="0" collapsed="false">
      <c r="A27" s="9" t="n">
        <f aca="false">Roster!A27</f>
        <v>23</v>
      </c>
      <c r="B27" s="9" t="str">
        <f aca="false">IF(Roster!B27="","",Roster!B27)</f>
        <v/>
      </c>
      <c r="C27" s="9" t="str">
        <f aca="false">IF($B27="","",Roster!C27)</f>
        <v/>
      </c>
      <c r="D27" s="9" t="str">
        <f aca="false">IF($B27="","",Roster!D27)</f>
        <v/>
      </c>
      <c r="E27" s="8"/>
      <c r="F27" s="8"/>
      <c r="G27" s="8"/>
      <c r="H27" s="8"/>
      <c r="I27" s="11" t="str">
        <f aca="false">IF($B27="","",SUM(E27:G27))</f>
        <v/>
      </c>
      <c r="J27" s="12" t="str">
        <f aca="false">IF($B27="","",I27+MIN(H27,Settings!$B$23)*Settings!$B$22)</f>
        <v/>
      </c>
      <c r="K27" s="11" t="str">
        <f aca="false">IF($B27="","",IFERROR(INDEX(Settings!$D$5:$D$9,MATCH($D27,Settings!$A$5:$A$9,0)),0))</f>
        <v/>
      </c>
      <c r="L27" s="11" t="str">
        <f aca="false">IF($B27="","",IFERROR(INDEX(Settings!$E$5:$E$9,MATCH($D27,Settings!$A$5:$A$9,0)),0))</f>
        <v/>
      </c>
      <c r="M27" s="11" t="str">
        <f aca="false">IF($B27="","",IFERROR(INDEX(Settings!$F$5:$F$9,MATCH($D27,Settings!$A$5:$A$9,0)),0))</f>
        <v/>
      </c>
      <c r="N27" s="12" t="str">
        <f aca="false">IF($B27="","",IF(M27=0,0,ROUND(MIN(J27/M27,1)*Settings!$B$16,1)))</f>
        <v/>
      </c>
      <c r="O27" s="11" t="str">
        <f aca="false">IF($B27="","",(E27&lt;K27)+(F27&lt;K27)+(G27&lt;K27))</f>
        <v/>
      </c>
      <c r="P27" s="12" t="str">
        <f aca="false">IF($B27="","",O27*Settings!$B$21)</f>
        <v/>
      </c>
      <c r="Q27" s="8"/>
      <c r="R27" s="8"/>
      <c r="S27" s="8"/>
      <c r="T27" s="12" t="str">
        <f aca="false">IF($B27="","",MAX(0,N27+MIN(Q27,Settings!$B$17)+MIN(R27,Settings!$B$18)+MIN(S27,Settings!$B$19)-P27))</f>
        <v/>
      </c>
      <c r="U27" s="13" t="str">
        <f aca="false">IF($B27="","",IF(J27&lt;L27,MIN(T27,Settings!$B$20),T27))</f>
        <v/>
      </c>
      <c r="V27" s="9" t="str">
        <f aca="false">IF($B27="","",IF($D27="","Assign role",IF(J27&lt;L27,"Below total minimum - capped",IF(O27&gt;0,"Missed sprint minimum - deducted","OK"))))</f>
        <v/>
      </c>
    </row>
    <row r="28" customFormat="false" ht="15" hidden="false" customHeight="false" outlineLevel="0" collapsed="false">
      <c r="A28" s="9" t="n">
        <f aca="false">Roster!A28</f>
        <v>24</v>
      </c>
      <c r="B28" s="9" t="str">
        <f aca="false">IF(Roster!B28="","",Roster!B28)</f>
        <v/>
      </c>
      <c r="C28" s="9" t="str">
        <f aca="false">IF($B28="","",Roster!C28)</f>
        <v/>
      </c>
      <c r="D28" s="9" t="str">
        <f aca="false">IF($B28="","",Roster!D28)</f>
        <v/>
      </c>
      <c r="E28" s="8"/>
      <c r="F28" s="8"/>
      <c r="G28" s="8"/>
      <c r="H28" s="8"/>
      <c r="I28" s="11" t="str">
        <f aca="false">IF($B28="","",SUM(E28:G28))</f>
        <v/>
      </c>
      <c r="J28" s="12" t="str">
        <f aca="false">IF($B28="","",I28+MIN(H28,Settings!$B$23)*Settings!$B$22)</f>
        <v/>
      </c>
      <c r="K28" s="11" t="str">
        <f aca="false">IF($B28="","",IFERROR(INDEX(Settings!$D$5:$D$9,MATCH($D28,Settings!$A$5:$A$9,0)),0))</f>
        <v/>
      </c>
      <c r="L28" s="11" t="str">
        <f aca="false">IF($B28="","",IFERROR(INDEX(Settings!$E$5:$E$9,MATCH($D28,Settings!$A$5:$A$9,0)),0))</f>
        <v/>
      </c>
      <c r="M28" s="11" t="str">
        <f aca="false">IF($B28="","",IFERROR(INDEX(Settings!$F$5:$F$9,MATCH($D28,Settings!$A$5:$A$9,0)),0))</f>
        <v/>
      </c>
      <c r="N28" s="12" t="str">
        <f aca="false">IF($B28="","",IF(M28=0,0,ROUND(MIN(J28/M28,1)*Settings!$B$16,1)))</f>
        <v/>
      </c>
      <c r="O28" s="11" t="str">
        <f aca="false">IF($B28="","",(E28&lt;K28)+(F28&lt;K28)+(G28&lt;K28))</f>
        <v/>
      </c>
      <c r="P28" s="12" t="str">
        <f aca="false">IF($B28="","",O28*Settings!$B$21)</f>
        <v/>
      </c>
      <c r="Q28" s="8"/>
      <c r="R28" s="8"/>
      <c r="S28" s="8"/>
      <c r="T28" s="12" t="str">
        <f aca="false">IF($B28="","",MAX(0,N28+MIN(Q28,Settings!$B$17)+MIN(R28,Settings!$B$18)+MIN(S28,Settings!$B$19)-P28))</f>
        <v/>
      </c>
      <c r="U28" s="13" t="str">
        <f aca="false">IF($B28="","",IF(J28&lt;L28,MIN(T28,Settings!$B$20),T28))</f>
        <v/>
      </c>
      <c r="V28" s="9" t="str">
        <f aca="false">IF($B28="","",IF($D28="","Assign role",IF(J28&lt;L28,"Below total minimum - capped",IF(O28&gt;0,"Missed sprint minimum - deducted","OK"))))</f>
        <v/>
      </c>
    </row>
    <row r="29" customFormat="false" ht="15" hidden="false" customHeight="false" outlineLevel="0" collapsed="false">
      <c r="A29" s="9" t="n">
        <f aca="false">Roster!A29</f>
        <v>25</v>
      </c>
      <c r="B29" s="9" t="str">
        <f aca="false">IF(Roster!B29="","",Roster!B29)</f>
        <v/>
      </c>
      <c r="C29" s="9" t="str">
        <f aca="false">IF($B29="","",Roster!C29)</f>
        <v/>
      </c>
      <c r="D29" s="9" t="str">
        <f aca="false">IF($B29="","",Roster!D29)</f>
        <v/>
      </c>
      <c r="E29" s="8"/>
      <c r="F29" s="8"/>
      <c r="G29" s="8"/>
      <c r="H29" s="8"/>
      <c r="I29" s="11" t="str">
        <f aca="false">IF($B29="","",SUM(E29:G29))</f>
        <v/>
      </c>
      <c r="J29" s="12" t="str">
        <f aca="false">IF($B29="","",I29+MIN(H29,Settings!$B$23)*Settings!$B$22)</f>
        <v/>
      </c>
      <c r="K29" s="11" t="str">
        <f aca="false">IF($B29="","",IFERROR(INDEX(Settings!$D$5:$D$9,MATCH($D29,Settings!$A$5:$A$9,0)),0))</f>
        <v/>
      </c>
      <c r="L29" s="11" t="str">
        <f aca="false">IF($B29="","",IFERROR(INDEX(Settings!$E$5:$E$9,MATCH($D29,Settings!$A$5:$A$9,0)),0))</f>
        <v/>
      </c>
      <c r="M29" s="11" t="str">
        <f aca="false">IF($B29="","",IFERROR(INDEX(Settings!$F$5:$F$9,MATCH($D29,Settings!$A$5:$A$9,0)),0))</f>
        <v/>
      </c>
      <c r="N29" s="12" t="str">
        <f aca="false">IF($B29="","",IF(M29=0,0,ROUND(MIN(J29/M29,1)*Settings!$B$16,1)))</f>
        <v/>
      </c>
      <c r="O29" s="11" t="str">
        <f aca="false">IF($B29="","",(E29&lt;K29)+(F29&lt;K29)+(G29&lt;K29))</f>
        <v/>
      </c>
      <c r="P29" s="12" t="str">
        <f aca="false">IF($B29="","",O29*Settings!$B$21)</f>
        <v/>
      </c>
      <c r="Q29" s="8"/>
      <c r="R29" s="8"/>
      <c r="S29" s="8"/>
      <c r="T29" s="12" t="str">
        <f aca="false">IF($B29="","",MAX(0,N29+MIN(Q29,Settings!$B$17)+MIN(R29,Settings!$B$18)+MIN(S29,Settings!$B$19)-P29))</f>
        <v/>
      </c>
      <c r="U29" s="13" t="str">
        <f aca="false">IF($B29="","",IF(J29&lt;L29,MIN(T29,Settings!$B$20),T29))</f>
        <v/>
      </c>
      <c r="V29" s="9" t="str">
        <f aca="false">IF($B29="","",IF($D29="","Assign role",IF(J29&lt;L29,"Below total minimum - capped",IF(O29&gt;0,"Missed sprint minimum - deducted","OK"))))</f>
        <v/>
      </c>
    </row>
    <row r="30" customFormat="false" ht="15" hidden="false" customHeight="false" outlineLevel="0" collapsed="false">
      <c r="A30" s="9" t="n">
        <f aca="false">Roster!A30</f>
        <v>26</v>
      </c>
      <c r="B30" s="9" t="str">
        <f aca="false">IF(Roster!B30="","",Roster!B30)</f>
        <v/>
      </c>
      <c r="C30" s="9" t="str">
        <f aca="false">IF($B30="","",Roster!C30)</f>
        <v/>
      </c>
      <c r="D30" s="9" t="str">
        <f aca="false">IF($B30="","",Roster!D30)</f>
        <v/>
      </c>
      <c r="E30" s="8"/>
      <c r="F30" s="8"/>
      <c r="G30" s="8"/>
      <c r="H30" s="8"/>
      <c r="I30" s="11" t="str">
        <f aca="false">IF($B30="","",SUM(E30:G30))</f>
        <v/>
      </c>
      <c r="J30" s="12" t="str">
        <f aca="false">IF($B30="","",I30+MIN(H30,Settings!$B$23)*Settings!$B$22)</f>
        <v/>
      </c>
      <c r="K30" s="11" t="str">
        <f aca="false">IF($B30="","",IFERROR(INDEX(Settings!$D$5:$D$9,MATCH($D30,Settings!$A$5:$A$9,0)),0))</f>
        <v/>
      </c>
      <c r="L30" s="11" t="str">
        <f aca="false">IF($B30="","",IFERROR(INDEX(Settings!$E$5:$E$9,MATCH($D30,Settings!$A$5:$A$9,0)),0))</f>
        <v/>
      </c>
      <c r="M30" s="11" t="str">
        <f aca="false">IF($B30="","",IFERROR(INDEX(Settings!$F$5:$F$9,MATCH($D30,Settings!$A$5:$A$9,0)),0))</f>
        <v/>
      </c>
      <c r="N30" s="12" t="str">
        <f aca="false">IF($B30="","",IF(M30=0,0,ROUND(MIN(J30/M30,1)*Settings!$B$16,1)))</f>
        <v/>
      </c>
      <c r="O30" s="11" t="str">
        <f aca="false">IF($B30="","",(E30&lt;K30)+(F30&lt;K30)+(G30&lt;K30))</f>
        <v/>
      </c>
      <c r="P30" s="12" t="str">
        <f aca="false">IF($B30="","",O30*Settings!$B$21)</f>
        <v/>
      </c>
      <c r="Q30" s="8"/>
      <c r="R30" s="8"/>
      <c r="S30" s="8"/>
      <c r="T30" s="12" t="str">
        <f aca="false">IF($B30="","",MAX(0,N30+MIN(Q30,Settings!$B$17)+MIN(R30,Settings!$B$18)+MIN(S30,Settings!$B$19)-P30))</f>
        <v/>
      </c>
      <c r="U30" s="13" t="str">
        <f aca="false">IF($B30="","",IF(J30&lt;L30,MIN(T30,Settings!$B$20),T30))</f>
        <v/>
      </c>
      <c r="V30" s="9" t="str">
        <f aca="false">IF($B30="","",IF($D30="","Assign role",IF(J30&lt;L30,"Below total minimum - capped",IF(O30&gt;0,"Missed sprint minimum - deducted","OK"))))</f>
        <v/>
      </c>
    </row>
    <row r="31" customFormat="false" ht="15" hidden="false" customHeight="false" outlineLevel="0" collapsed="false">
      <c r="A31" s="9" t="n">
        <f aca="false">Roster!A31</f>
        <v>27</v>
      </c>
      <c r="B31" s="9" t="str">
        <f aca="false">IF(Roster!B31="","",Roster!B31)</f>
        <v/>
      </c>
      <c r="C31" s="9" t="str">
        <f aca="false">IF($B31="","",Roster!C31)</f>
        <v/>
      </c>
      <c r="D31" s="9" t="str">
        <f aca="false">IF($B31="","",Roster!D31)</f>
        <v/>
      </c>
      <c r="E31" s="8"/>
      <c r="F31" s="8"/>
      <c r="G31" s="8"/>
      <c r="H31" s="8"/>
      <c r="I31" s="11" t="str">
        <f aca="false">IF($B31="","",SUM(E31:G31))</f>
        <v/>
      </c>
      <c r="J31" s="12" t="str">
        <f aca="false">IF($B31="","",I31+MIN(H31,Settings!$B$23)*Settings!$B$22)</f>
        <v/>
      </c>
      <c r="K31" s="11" t="str">
        <f aca="false">IF($B31="","",IFERROR(INDEX(Settings!$D$5:$D$9,MATCH($D31,Settings!$A$5:$A$9,0)),0))</f>
        <v/>
      </c>
      <c r="L31" s="11" t="str">
        <f aca="false">IF($B31="","",IFERROR(INDEX(Settings!$E$5:$E$9,MATCH($D31,Settings!$A$5:$A$9,0)),0))</f>
        <v/>
      </c>
      <c r="M31" s="11" t="str">
        <f aca="false">IF($B31="","",IFERROR(INDEX(Settings!$F$5:$F$9,MATCH($D31,Settings!$A$5:$A$9,0)),0))</f>
        <v/>
      </c>
      <c r="N31" s="12" t="str">
        <f aca="false">IF($B31="","",IF(M31=0,0,ROUND(MIN(J31/M31,1)*Settings!$B$16,1)))</f>
        <v/>
      </c>
      <c r="O31" s="11" t="str">
        <f aca="false">IF($B31="","",(E31&lt;K31)+(F31&lt;K31)+(G31&lt;K31))</f>
        <v/>
      </c>
      <c r="P31" s="12" t="str">
        <f aca="false">IF($B31="","",O31*Settings!$B$21)</f>
        <v/>
      </c>
      <c r="Q31" s="8"/>
      <c r="R31" s="8"/>
      <c r="S31" s="8"/>
      <c r="T31" s="12" t="str">
        <f aca="false">IF($B31="","",MAX(0,N31+MIN(Q31,Settings!$B$17)+MIN(R31,Settings!$B$18)+MIN(S31,Settings!$B$19)-P31))</f>
        <v/>
      </c>
      <c r="U31" s="13" t="str">
        <f aca="false">IF($B31="","",IF(J31&lt;L31,MIN(T31,Settings!$B$20),T31))</f>
        <v/>
      </c>
      <c r="V31" s="9" t="str">
        <f aca="false">IF($B31="","",IF($D31="","Assign role",IF(J31&lt;L31,"Below total minimum - capped",IF(O31&gt;0,"Missed sprint minimum - deducted","OK"))))</f>
        <v/>
      </c>
    </row>
    <row r="32" customFormat="false" ht="15" hidden="false" customHeight="false" outlineLevel="0" collapsed="false">
      <c r="A32" s="9" t="n">
        <f aca="false">Roster!A32</f>
        <v>28</v>
      </c>
      <c r="B32" s="9" t="str">
        <f aca="false">IF(Roster!B32="","",Roster!B32)</f>
        <v/>
      </c>
      <c r="C32" s="9" t="str">
        <f aca="false">IF($B32="","",Roster!C32)</f>
        <v/>
      </c>
      <c r="D32" s="9" t="str">
        <f aca="false">IF($B32="","",Roster!D32)</f>
        <v/>
      </c>
      <c r="E32" s="8"/>
      <c r="F32" s="8"/>
      <c r="G32" s="8"/>
      <c r="H32" s="8"/>
      <c r="I32" s="11" t="str">
        <f aca="false">IF($B32="","",SUM(E32:G32))</f>
        <v/>
      </c>
      <c r="J32" s="12" t="str">
        <f aca="false">IF($B32="","",I32+MIN(H32,Settings!$B$23)*Settings!$B$22)</f>
        <v/>
      </c>
      <c r="K32" s="11" t="str">
        <f aca="false">IF($B32="","",IFERROR(INDEX(Settings!$D$5:$D$9,MATCH($D32,Settings!$A$5:$A$9,0)),0))</f>
        <v/>
      </c>
      <c r="L32" s="11" t="str">
        <f aca="false">IF($B32="","",IFERROR(INDEX(Settings!$E$5:$E$9,MATCH($D32,Settings!$A$5:$A$9,0)),0))</f>
        <v/>
      </c>
      <c r="M32" s="11" t="str">
        <f aca="false">IF($B32="","",IFERROR(INDEX(Settings!$F$5:$F$9,MATCH($D32,Settings!$A$5:$A$9,0)),0))</f>
        <v/>
      </c>
      <c r="N32" s="12" t="str">
        <f aca="false">IF($B32="","",IF(M32=0,0,ROUND(MIN(J32/M32,1)*Settings!$B$16,1)))</f>
        <v/>
      </c>
      <c r="O32" s="11" t="str">
        <f aca="false">IF($B32="","",(E32&lt;K32)+(F32&lt;K32)+(G32&lt;K32))</f>
        <v/>
      </c>
      <c r="P32" s="12" t="str">
        <f aca="false">IF($B32="","",O32*Settings!$B$21)</f>
        <v/>
      </c>
      <c r="Q32" s="8"/>
      <c r="R32" s="8"/>
      <c r="S32" s="8"/>
      <c r="T32" s="12" t="str">
        <f aca="false">IF($B32="","",MAX(0,N32+MIN(Q32,Settings!$B$17)+MIN(R32,Settings!$B$18)+MIN(S32,Settings!$B$19)-P32))</f>
        <v/>
      </c>
      <c r="U32" s="13" t="str">
        <f aca="false">IF($B32="","",IF(J32&lt;L32,MIN(T32,Settings!$B$20),T32))</f>
        <v/>
      </c>
      <c r="V32" s="9" t="str">
        <f aca="false">IF($B32="","",IF($D32="","Assign role",IF(J32&lt;L32,"Below total minimum - capped",IF(O32&gt;0,"Missed sprint minimum - deducted","OK"))))</f>
        <v/>
      </c>
    </row>
    <row r="33" customFormat="false" ht="15" hidden="false" customHeight="false" outlineLevel="0" collapsed="false">
      <c r="A33" s="9" t="n">
        <f aca="false">Roster!A33</f>
        <v>29</v>
      </c>
      <c r="B33" s="9" t="str">
        <f aca="false">IF(Roster!B33="","",Roster!B33)</f>
        <v/>
      </c>
      <c r="C33" s="9" t="str">
        <f aca="false">IF($B33="","",Roster!C33)</f>
        <v/>
      </c>
      <c r="D33" s="9" t="str">
        <f aca="false">IF($B33="","",Roster!D33)</f>
        <v/>
      </c>
      <c r="E33" s="8"/>
      <c r="F33" s="8"/>
      <c r="G33" s="8"/>
      <c r="H33" s="8"/>
      <c r="I33" s="11" t="str">
        <f aca="false">IF($B33="","",SUM(E33:G33))</f>
        <v/>
      </c>
      <c r="J33" s="12" t="str">
        <f aca="false">IF($B33="","",I33+MIN(H33,Settings!$B$23)*Settings!$B$22)</f>
        <v/>
      </c>
      <c r="K33" s="11" t="str">
        <f aca="false">IF($B33="","",IFERROR(INDEX(Settings!$D$5:$D$9,MATCH($D33,Settings!$A$5:$A$9,0)),0))</f>
        <v/>
      </c>
      <c r="L33" s="11" t="str">
        <f aca="false">IF($B33="","",IFERROR(INDEX(Settings!$E$5:$E$9,MATCH($D33,Settings!$A$5:$A$9,0)),0))</f>
        <v/>
      </c>
      <c r="M33" s="11" t="str">
        <f aca="false">IF($B33="","",IFERROR(INDEX(Settings!$F$5:$F$9,MATCH($D33,Settings!$A$5:$A$9,0)),0))</f>
        <v/>
      </c>
      <c r="N33" s="12" t="str">
        <f aca="false">IF($B33="","",IF(M33=0,0,ROUND(MIN(J33/M33,1)*Settings!$B$16,1)))</f>
        <v/>
      </c>
      <c r="O33" s="11" t="str">
        <f aca="false">IF($B33="","",(E33&lt;K33)+(F33&lt;K33)+(G33&lt;K33))</f>
        <v/>
      </c>
      <c r="P33" s="12" t="str">
        <f aca="false">IF($B33="","",O33*Settings!$B$21)</f>
        <v/>
      </c>
      <c r="Q33" s="8"/>
      <c r="R33" s="8"/>
      <c r="S33" s="8"/>
      <c r="T33" s="12" t="str">
        <f aca="false">IF($B33="","",MAX(0,N33+MIN(Q33,Settings!$B$17)+MIN(R33,Settings!$B$18)+MIN(S33,Settings!$B$19)-P33))</f>
        <v/>
      </c>
      <c r="U33" s="13" t="str">
        <f aca="false">IF($B33="","",IF(J33&lt;L33,MIN(T33,Settings!$B$20),T33))</f>
        <v/>
      </c>
      <c r="V33" s="9" t="str">
        <f aca="false">IF($B33="","",IF($D33="","Assign role",IF(J33&lt;L33,"Below total minimum - capped",IF(O33&gt;0,"Missed sprint minimum - deducted","OK"))))</f>
        <v/>
      </c>
    </row>
    <row r="34" customFormat="false" ht="15" hidden="false" customHeight="false" outlineLevel="0" collapsed="false">
      <c r="A34" s="9" t="n">
        <f aca="false">Roster!A34</f>
        <v>30</v>
      </c>
      <c r="B34" s="9" t="str">
        <f aca="false">IF(Roster!B34="","",Roster!B34)</f>
        <v/>
      </c>
      <c r="C34" s="9" t="str">
        <f aca="false">IF($B34="","",Roster!C34)</f>
        <v/>
      </c>
      <c r="D34" s="9" t="str">
        <f aca="false">IF($B34="","",Roster!D34)</f>
        <v/>
      </c>
      <c r="E34" s="8"/>
      <c r="F34" s="8"/>
      <c r="G34" s="8"/>
      <c r="H34" s="8"/>
      <c r="I34" s="11" t="str">
        <f aca="false">IF($B34="","",SUM(E34:G34))</f>
        <v/>
      </c>
      <c r="J34" s="12" t="str">
        <f aca="false">IF($B34="","",I34+MIN(H34,Settings!$B$23)*Settings!$B$22)</f>
        <v/>
      </c>
      <c r="K34" s="11" t="str">
        <f aca="false">IF($B34="","",IFERROR(INDEX(Settings!$D$5:$D$9,MATCH($D34,Settings!$A$5:$A$9,0)),0))</f>
        <v/>
      </c>
      <c r="L34" s="11" t="str">
        <f aca="false">IF($B34="","",IFERROR(INDEX(Settings!$E$5:$E$9,MATCH($D34,Settings!$A$5:$A$9,0)),0))</f>
        <v/>
      </c>
      <c r="M34" s="11" t="str">
        <f aca="false">IF($B34="","",IFERROR(INDEX(Settings!$F$5:$F$9,MATCH($D34,Settings!$A$5:$A$9,0)),0))</f>
        <v/>
      </c>
      <c r="N34" s="12" t="str">
        <f aca="false">IF($B34="","",IF(M34=0,0,ROUND(MIN(J34/M34,1)*Settings!$B$16,1)))</f>
        <v/>
      </c>
      <c r="O34" s="11" t="str">
        <f aca="false">IF($B34="","",(E34&lt;K34)+(F34&lt;K34)+(G34&lt;K34))</f>
        <v/>
      </c>
      <c r="P34" s="12" t="str">
        <f aca="false">IF($B34="","",O34*Settings!$B$21)</f>
        <v/>
      </c>
      <c r="Q34" s="8"/>
      <c r="R34" s="8"/>
      <c r="S34" s="8"/>
      <c r="T34" s="12" t="str">
        <f aca="false">IF($B34="","",MAX(0,N34+MIN(Q34,Settings!$B$17)+MIN(R34,Settings!$B$18)+MIN(S34,Settings!$B$19)-P34))</f>
        <v/>
      </c>
      <c r="U34" s="13" t="str">
        <f aca="false">IF($B34="","",IF(J34&lt;L34,MIN(T34,Settings!$B$20),T34))</f>
        <v/>
      </c>
      <c r="V34" s="9" t="str">
        <f aca="false">IF($B34="","",IF($D34="","Assign role",IF(J34&lt;L34,"Below total minimum - capped",IF(O34&gt;0,"Missed sprint minimum - deducted","OK"))))</f>
        <v/>
      </c>
    </row>
    <row r="35" customFormat="false" ht="15" hidden="false" customHeight="false" outlineLevel="0" collapsed="false">
      <c r="A35" s="9" t="n">
        <f aca="false">Roster!A35</f>
        <v>31</v>
      </c>
      <c r="B35" s="9" t="str">
        <f aca="false">IF(Roster!B35="","",Roster!B35)</f>
        <v/>
      </c>
      <c r="C35" s="9" t="str">
        <f aca="false">IF($B35="","",Roster!C35)</f>
        <v/>
      </c>
      <c r="D35" s="9" t="str">
        <f aca="false">IF($B35="","",Roster!D35)</f>
        <v/>
      </c>
      <c r="E35" s="8"/>
      <c r="F35" s="8"/>
      <c r="G35" s="8"/>
      <c r="H35" s="8"/>
      <c r="I35" s="11" t="str">
        <f aca="false">IF($B35="","",SUM(E35:G35))</f>
        <v/>
      </c>
      <c r="J35" s="12" t="str">
        <f aca="false">IF($B35="","",I35+MIN(H35,Settings!$B$23)*Settings!$B$22)</f>
        <v/>
      </c>
      <c r="K35" s="11" t="str">
        <f aca="false">IF($B35="","",IFERROR(INDEX(Settings!$D$5:$D$9,MATCH($D35,Settings!$A$5:$A$9,0)),0))</f>
        <v/>
      </c>
      <c r="L35" s="11" t="str">
        <f aca="false">IF($B35="","",IFERROR(INDEX(Settings!$E$5:$E$9,MATCH($D35,Settings!$A$5:$A$9,0)),0))</f>
        <v/>
      </c>
      <c r="M35" s="11" t="str">
        <f aca="false">IF($B35="","",IFERROR(INDEX(Settings!$F$5:$F$9,MATCH($D35,Settings!$A$5:$A$9,0)),0))</f>
        <v/>
      </c>
      <c r="N35" s="12" t="str">
        <f aca="false">IF($B35="","",IF(M35=0,0,ROUND(MIN(J35/M35,1)*Settings!$B$16,1)))</f>
        <v/>
      </c>
      <c r="O35" s="11" t="str">
        <f aca="false">IF($B35="","",(E35&lt;K35)+(F35&lt;K35)+(G35&lt;K35))</f>
        <v/>
      </c>
      <c r="P35" s="12" t="str">
        <f aca="false">IF($B35="","",O35*Settings!$B$21)</f>
        <v/>
      </c>
      <c r="Q35" s="8"/>
      <c r="R35" s="8"/>
      <c r="S35" s="8"/>
      <c r="T35" s="12" t="str">
        <f aca="false">IF($B35="","",MAX(0,N35+MIN(Q35,Settings!$B$17)+MIN(R35,Settings!$B$18)+MIN(S35,Settings!$B$19)-P35))</f>
        <v/>
      </c>
      <c r="U35" s="13" t="str">
        <f aca="false">IF($B35="","",IF(J35&lt;L35,MIN(T35,Settings!$B$20),T35))</f>
        <v/>
      </c>
      <c r="V35" s="9" t="str">
        <f aca="false">IF($B35="","",IF($D35="","Assign role",IF(J35&lt;L35,"Below total minimum - capped",IF(O35&gt;0,"Missed sprint minimum - deducted","OK"))))</f>
        <v/>
      </c>
    </row>
    <row r="36" customFormat="false" ht="15" hidden="false" customHeight="false" outlineLevel="0" collapsed="false">
      <c r="A36" s="9" t="n">
        <f aca="false">Roster!A36</f>
        <v>32</v>
      </c>
      <c r="B36" s="9" t="str">
        <f aca="false">IF(Roster!B36="","",Roster!B36)</f>
        <v/>
      </c>
      <c r="C36" s="9" t="str">
        <f aca="false">IF($B36="","",Roster!C36)</f>
        <v/>
      </c>
      <c r="D36" s="9" t="str">
        <f aca="false">IF($B36="","",Roster!D36)</f>
        <v/>
      </c>
      <c r="E36" s="8"/>
      <c r="F36" s="8"/>
      <c r="G36" s="8"/>
      <c r="H36" s="8"/>
      <c r="I36" s="11" t="str">
        <f aca="false">IF($B36="","",SUM(E36:G36))</f>
        <v/>
      </c>
      <c r="J36" s="12" t="str">
        <f aca="false">IF($B36="","",I36+MIN(H36,Settings!$B$23)*Settings!$B$22)</f>
        <v/>
      </c>
      <c r="K36" s="11" t="str">
        <f aca="false">IF($B36="","",IFERROR(INDEX(Settings!$D$5:$D$9,MATCH($D36,Settings!$A$5:$A$9,0)),0))</f>
        <v/>
      </c>
      <c r="L36" s="11" t="str">
        <f aca="false">IF($B36="","",IFERROR(INDEX(Settings!$E$5:$E$9,MATCH($D36,Settings!$A$5:$A$9,0)),0))</f>
        <v/>
      </c>
      <c r="M36" s="11" t="str">
        <f aca="false">IF($B36="","",IFERROR(INDEX(Settings!$F$5:$F$9,MATCH($D36,Settings!$A$5:$A$9,0)),0))</f>
        <v/>
      </c>
      <c r="N36" s="12" t="str">
        <f aca="false">IF($B36="","",IF(M36=0,0,ROUND(MIN(J36/M36,1)*Settings!$B$16,1)))</f>
        <v/>
      </c>
      <c r="O36" s="11" t="str">
        <f aca="false">IF($B36="","",(E36&lt;K36)+(F36&lt;K36)+(G36&lt;K36))</f>
        <v/>
      </c>
      <c r="P36" s="12" t="str">
        <f aca="false">IF($B36="","",O36*Settings!$B$21)</f>
        <v/>
      </c>
      <c r="Q36" s="8"/>
      <c r="R36" s="8"/>
      <c r="S36" s="8"/>
      <c r="T36" s="12" t="str">
        <f aca="false">IF($B36="","",MAX(0,N36+MIN(Q36,Settings!$B$17)+MIN(R36,Settings!$B$18)+MIN(S36,Settings!$B$19)-P36))</f>
        <v/>
      </c>
      <c r="U36" s="13" t="str">
        <f aca="false">IF($B36="","",IF(J36&lt;L36,MIN(T36,Settings!$B$20),T36))</f>
        <v/>
      </c>
      <c r="V36" s="9" t="str">
        <f aca="false">IF($B36="","",IF($D36="","Assign role",IF(J36&lt;L36,"Below total minimum - capped",IF(O36&gt;0,"Missed sprint minimum - deducted","OK"))))</f>
        <v/>
      </c>
    </row>
    <row r="37" customFormat="false" ht="15" hidden="false" customHeight="false" outlineLevel="0" collapsed="false">
      <c r="A37" s="9" t="n">
        <f aca="false">Roster!A37</f>
        <v>33</v>
      </c>
      <c r="B37" s="9" t="str">
        <f aca="false">IF(Roster!B37="","",Roster!B37)</f>
        <v/>
      </c>
      <c r="C37" s="9" t="str">
        <f aca="false">IF($B37="","",Roster!C37)</f>
        <v/>
      </c>
      <c r="D37" s="9" t="str">
        <f aca="false">IF($B37="","",Roster!D37)</f>
        <v/>
      </c>
      <c r="E37" s="8"/>
      <c r="F37" s="8"/>
      <c r="G37" s="8"/>
      <c r="H37" s="8"/>
      <c r="I37" s="11" t="str">
        <f aca="false">IF($B37="","",SUM(E37:G37))</f>
        <v/>
      </c>
      <c r="J37" s="12" t="str">
        <f aca="false">IF($B37="","",I37+MIN(H37,Settings!$B$23)*Settings!$B$22)</f>
        <v/>
      </c>
      <c r="K37" s="11" t="str">
        <f aca="false">IF($B37="","",IFERROR(INDEX(Settings!$D$5:$D$9,MATCH($D37,Settings!$A$5:$A$9,0)),0))</f>
        <v/>
      </c>
      <c r="L37" s="11" t="str">
        <f aca="false">IF($B37="","",IFERROR(INDEX(Settings!$E$5:$E$9,MATCH($D37,Settings!$A$5:$A$9,0)),0))</f>
        <v/>
      </c>
      <c r="M37" s="11" t="str">
        <f aca="false">IF($B37="","",IFERROR(INDEX(Settings!$F$5:$F$9,MATCH($D37,Settings!$A$5:$A$9,0)),0))</f>
        <v/>
      </c>
      <c r="N37" s="12" t="str">
        <f aca="false">IF($B37="","",IF(M37=0,0,ROUND(MIN(J37/M37,1)*Settings!$B$16,1)))</f>
        <v/>
      </c>
      <c r="O37" s="11" t="str">
        <f aca="false">IF($B37="","",(E37&lt;K37)+(F37&lt;K37)+(G37&lt;K37))</f>
        <v/>
      </c>
      <c r="P37" s="12" t="str">
        <f aca="false">IF($B37="","",O37*Settings!$B$21)</f>
        <v/>
      </c>
      <c r="Q37" s="8"/>
      <c r="R37" s="8"/>
      <c r="S37" s="8"/>
      <c r="T37" s="12" t="str">
        <f aca="false">IF($B37="","",MAX(0,N37+MIN(Q37,Settings!$B$17)+MIN(R37,Settings!$B$18)+MIN(S37,Settings!$B$19)-P37))</f>
        <v/>
      </c>
      <c r="U37" s="13" t="str">
        <f aca="false">IF($B37="","",IF(J37&lt;L37,MIN(T37,Settings!$B$20),T37))</f>
        <v/>
      </c>
      <c r="V37" s="9" t="str">
        <f aca="false">IF($B37="","",IF($D37="","Assign role",IF(J37&lt;L37,"Below total minimum - capped",IF(O37&gt;0,"Missed sprint minimum - deducted","OK"))))</f>
        <v/>
      </c>
    </row>
    <row r="38" customFormat="false" ht="15" hidden="false" customHeight="false" outlineLevel="0" collapsed="false">
      <c r="A38" s="9" t="n">
        <f aca="false">Roster!A38</f>
        <v>34</v>
      </c>
      <c r="B38" s="9" t="str">
        <f aca="false">IF(Roster!B38="","",Roster!B38)</f>
        <v/>
      </c>
      <c r="C38" s="9" t="str">
        <f aca="false">IF($B38="","",Roster!C38)</f>
        <v/>
      </c>
      <c r="D38" s="9" t="str">
        <f aca="false">IF($B38="","",Roster!D38)</f>
        <v/>
      </c>
      <c r="E38" s="8"/>
      <c r="F38" s="8"/>
      <c r="G38" s="8"/>
      <c r="H38" s="8"/>
      <c r="I38" s="11" t="str">
        <f aca="false">IF($B38="","",SUM(E38:G38))</f>
        <v/>
      </c>
      <c r="J38" s="12" t="str">
        <f aca="false">IF($B38="","",I38+MIN(H38,Settings!$B$23)*Settings!$B$22)</f>
        <v/>
      </c>
      <c r="K38" s="11" t="str">
        <f aca="false">IF($B38="","",IFERROR(INDEX(Settings!$D$5:$D$9,MATCH($D38,Settings!$A$5:$A$9,0)),0))</f>
        <v/>
      </c>
      <c r="L38" s="11" t="str">
        <f aca="false">IF($B38="","",IFERROR(INDEX(Settings!$E$5:$E$9,MATCH($D38,Settings!$A$5:$A$9,0)),0))</f>
        <v/>
      </c>
      <c r="M38" s="11" t="str">
        <f aca="false">IF($B38="","",IFERROR(INDEX(Settings!$F$5:$F$9,MATCH($D38,Settings!$A$5:$A$9,0)),0))</f>
        <v/>
      </c>
      <c r="N38" s="12" t="str">
        <f aca="false">IF($B38="","",IF(M38=0,0,ROUND(MIN(J38/M38,1)*Settings!$B$16,1)))</f>
        <v/>
      </c>
      <c r="O38" s="11" t="str">
        <f aca="false">IF($B38="","",(E38&lt;K38)+(F38&lt;K38)+(G38&lt;K38))</f>
        <v/>
      </c>
      <c r="P38" s="12" t="str">
        <f aca="false">IF($B38="","",O38*Settings!$B$21)</f>
        <v/>
      </c>
      <c r="Q38" s="8"/>
      <c r="R38" s="8"/>
      <c r="S38" s="8"/>
      <c r="T38" s="12" t="str">
        <f aca="false">IF($B38="","",MAX(0,N38+MIN(Q38,Settings!$B$17)+MIN(R38,Settings!$B$18)+MIN(S38,Settings!$B$19)-P38))</f>
        <v/>
      </c>
      <c r="U38" s="13" t="str">
        <f aca="false">IF($B38="","",IF(J38&lt;L38,MIN(T38,Settings!$B$20),T38))</f>
        <v/>
      </c>
      <c r="V38" s="9" t="str">
        <f aca="false">IF($B38="","",IF($D38="","Assign role",IF(J38&lt;L38,"Below total minimum - capped",IF(O38&gt;0,"Missed sprint minimum - deducted","OK"))))</f>
        <v/>
      </c>
    </row>
    <row r="39" customFormat="false" ht="15" hidden="false" customHeight="false" outlineLevel="0" collapsed="false">
      <c r="A39" s="9" t="n">
        <f aca="false">Roster!A39</f>
        <v>35</v>
      </c>
      <c r="B39" s="9" t="str">
        <f aca="false">IF(Roster!B39="","",Roster!B39)</f>
        <v/>
      </c>
      <c r="C39" s="9" t="str">
        <f aca="false">IF($B39="","",Roster!C39)</f>
        <v/>
      </c>
      <c r="D39" s="9" t="str">
        <f aca="false">IF($B39="","",Roster!D39)</f>
        <v/>
      </c>
      <c r="E39" s="8"/>
      <c r="F39" s="8"/>
      <c r="G39" s="8"/>
      <c r="H39" s="8"/>
      <c r="I39" s="11" t="str">
        <f aca="false">IF($B39="","",SUM(E39:G39))</f>
        <v/>
      </c>
      <c r="J39" s="12" t="str">
        <f aca="false">IF($B39="","",I39+MIN(H39,Settings!$B$23)*Settings!$B$22)</f>
        <v/>
      </c>
      <c r="K39" s="11" t="str">
        <f aca="false">IF($B39="","",IFERROR(INDEX(Settings!$D$5:$D$9,MATCH($D39,Settings!$A$5:$A$9,0)),0))</f>
        <v/>
      </c>
      <c r="L39" s="11" t="str">
        <f aca="false">IF($B39="","",IFERROR(INDEX(Settings!$E$5:$E$9,MATCH($D39,Settings!$A$5:$A$9,0)),0))</f>
        <v/>
      </c>
      <c r="M39" s="11" t="str">
        <f aca="false">IF($B39="","",IFERROR(INDEX(Settings!$F$5:$F$9,MATCH($D39,Settings!$A$5:$A$9,0)),0))</f>
        <v/>
      </c>
      <c r="N39" s="12" t="str">
        <f aca="false">IF($B39="","",IF(M39=0,0,ROUND(MIN(J39/M39,1)*Settings!$B$16,1)))</f>
        <v/>
      </c>
      <c r="O39" s="11" t="str">
        <f aca="false">IF($B39="","",(E39&lt;K39)+(F39&lt;K39)+(G39&lt;K39))</f>
        <v/>
      </c>
      <c r="P39" s="12" t="str">
        <f aca="false">IF($B39="","",O39*Settings!$B$21)</f>
        <v/>
      </c>
      <c r="Q39" s="8"/>
      <c r="R39" s="8"/>
      <c r="S39" s="8"/>
      <c r="T39" s="12" t="str">
        <f aca="false">IF($B39="","",MAX(0,N39+MIN(Q39,Settings!$B$17)+MIN(R39,Settings!$B$18)+MIN(S39,Settings!$B$19)-P39))</f>
        <v/>
      </c>
      <c r="U39" s="13" t="str">
        <f aca="false">IF($B39="","",IF(J39&lt;L39,MIN(T39,Settings!$B$20),T39))</f>
        <v/>
      </c>
      <c r="V39" s="9" t="str">
        <f aca="false">IF($B39="","",IF($D39="","Assign role",IF(J39&lt;L39,"Below total minimum - capped",IF(O39&gt;0,"Missed sprint minimum - deducted","OK"))))</f>
        <v/>
      </c>
    </row>
    <row r="40" customFormat="false" ht="15" hidden="false" customHeight="false" outlineLevel="0" collapsed="false">
      <c r="A40" s="9" t="n">
        <f aca="false">Roster!A40</f>
        <v>36</v>
      </c>
      <c r="B40" s="9" t="str">
        <f aca="false">IF(Roster!B40="","",Roster!B40)</f>
        <v/>
      </c>
      <c r="C40" s="9" t="str">
        <f aca="false">IF($B40="","",Roster!C40)</f>
        <v/>
      </c>
      <c r="D40" s="9" t="str">
        <f aca="false">IF($B40="","",Roster!D40)</f>
        <v/>
      </c>
      <c r="E40" s="8"/>
      <c r="F40" s="8"/>
      <c r="G40" s="8"/>
      <c r="H40" s="8"/>
      <c r="I40" s="11" t="str">
        <f aca="false">IF($B40="","",SUM(E40:G40))</f>
        <v/>
      </c>
      <c r="J40" s="12" t="str">
        <f aca="false">IF($B40="","",I40+MIN(H40,Settings!$B$23)*Settings!$B$22)</f>
        <v/>
      </c>
      <c r="K40" s="11" t="str">
        <f aca="false">IF($B40="","",IFERROR(INDEX(Settings!$D$5:$D$9,MATCH($D40,Settings!$A$5:$A$9,0)),0))</f>
        <v/>
      </c>
      <c r="L40" s="11" t="str">
        <f aca="false">IF($B40="","",IFERROR(INDEX(Settings!$E$5:$E$9,MATCH($D40,Settings!$A$5:$A$9,0)),0))</f>
        <v/>
      </c>
      <c r="M40" s="11" t="str">
        <f aca="false">IF($B40="","",IFERROR(INDEX(Settings!$F$5:$F$9,MATCH($D40,Settings!$A$5:$A$9,0)),0))</f>
        <v/>
      </c>
      <c r="N40" s="12" t="str">
        <f aca="false">IF($B40="","",IF(M40=0,0,ROUND(MIN(J40/M40,1)*Settings!$B$16,1)))</f>
        <v/>
      </c>
      <c r="O40" s="11" t="str">
        <f aca="false">IF($B40="","",(E40&lt;K40)+(F40&lt;K40)+(G40&lt;K40))</f>
        <v/>
      </c>
      <c r="P40" s="12" t="str">
        <f aca="false">IF($B40="","",O40*Settings!$B$21)</f>
        <v/>
      </c>
      <c r="Q40" s="8"/>
      <c r="R40" s="8"/>
      <c r="S40" s="8"/>
      <c r="T40" s="12" t="str">
        <f aca="false">IF($B40="","",MAX(0,N40+MIN(Q40,Settings!$B$17)+MIN(R40,Settings!$B$18)+MIN(S40,Settings!$B$19)-P40))</f>
        <v/>
      </c>
      <c r="U40" s="13" t="str">
        <f aca="false">IF($B40="","",IF(J40&lt;L40,MIN(T40,Settings!$B$20),T40))</f>
        <v/>
      </c>
      <c r="V40" s="9" t="str">
        <f aca="false">IF($B40="","",IF($D40="","Assign role",IF(J40&lt;L40,"Below total minimum - capped",IF(O40&gt;0,"Missed sprint minimum - deducted","OK"))))</f>
        <v/>
      </c>
    </row>
    <row r="41" customFormat="false" ht="15" hidden="false" customHeight="false" outlineLevel="0" collapsed="false">
      <c r="A41" s="9" t="n">
        <f aca="false">Roster!A41</f>
        <v>37</v>
      </c>
      <c r="B41" s="9" t="str">
        <f aca="false">IF(Roster!B41="","",Roster!B41)</f>
        <v/>
      </c>
      <c r="C41" s="9" t="str">
        <f aca="false">IF($B41="","",Roster!C41)</f>
        <v/>
      </c>
      <c r="D41" s="9" t="str">
        <f aca="false">IF($B41="","",Roster!D41)</f>
        <v/>
      </c>
      <c r="E41" s="8"/>
      <c r="F41" s="8"/>
      <c r="G41" s="8"/>
      <c r="H41" s="8"/>
      <c r="I41" s="11" t="str">
        <f aca="false">IF($B41="","",SUM(E41:G41))</f>
        <v/>
      </c>
      <c r="J41" s="12" t="str">
        <f aca="false">IF($B41="","",I41+MIN(H41,Settings!$B$23)*Settings!$B$22)</f>
        <v/>
      </c>
      <c r="K41" s="11" t="str">
        <f aca="false">IF($B41="","",IFERROR(INDEX(Settings!$D$5:$D$9,MATCH($D41,Settings!$A$5:$A$9,0)),0))</f>
        <v/>
      </c>
      <c r="L41" s="11" t="str">
        <f aca="false">IF($B41="","",IFERROR(INDEX(Settings!$E$5:$E$9,MATCH($D41,Settings!$A$5:$A$9,0)),0))</f>
        <v/>
      </c>
      <c r="M41" s="11" t="str">
        <f aca="false">IF($B41="","",IFERROR(INDEX(Settings!$F$5:$F$9,MATCH($D41,Settings!$A$5:$A$9,0)),0))</f>
        <v/>
      </c>
      <c r="N41" s="12" t="str">
        <f aca="false">IF($B41="","",IF(M41=0,0,ROUND(MIN(J41/M41,1)*Settings!$B$16,1)))</f>
        <v/>
      </c>
      <c r="O41" s="11" t="str">
        <f aca="false">IF($B41="","",(E41&lt;K41)+(F41&lt;K41)+(G41&lt;K41))</f>
        <v/>
      </c>
      <c r="P41" s="12" t="str">
        <f aca="false">IF($B41="","",O41*Settings!$B$21)</f>
        <v/>
      </c>
      <c r="Q41" s="8"/>
      <c r="R41" s="8"/>
      <c r="S41" s="8"/>
      <c r="T41" s="12" t="str">
        <f aca="false">IF($B41="","",MAX(0,N41+MIN(Q41,Settings!$B$17)+MIN(R41,Settings!$B$18)+MIN(S41,Settings!$B$19)-P41))</f>
        <v/>
      </c>
      <c r="U41" s="13" t="str">
        <f aca="false">IF($B41="","",IF(J41&lt;L41,MIN(T41,Settings!$B$20),T41))</f>
        <v/>
      </c>
      <c r="V41" s="9" t="str">
        <f aca="false">IF($B41="","",IF($D41="","Assign role",IF(J41&lt;L41,"Below total minimum - capped",IF(O41&gt;0,"Missed sprint minimum - deducted","OK"))))</f>
        <v/>
      </c>
    </row>
    <row r="42" customFormat="false" ht="15" hidden="false" customHeight="false" outlineLevel="0" collapsed="false">
      <c r="A42" s="9" t="n">
        <f aca="false">Roster!A42</f>
        <v>38</v>
      </c>
      <c r="B42" s="9" t="str">
        <f aca="false">IF(Roster!B42="","",Roster!B42)</f>
        <v/>
      </c>
      <c r="C42" s="9" t="str">
        <f aca="false">IF($B42="","",Roster!C42)</f>
        <v/>
      </c>
      <c r="D42" s="9" t="str">
        <f aca="false">IF($B42="","",Roster!D42)</f>
        <v/>
      </c>
      <c r="E42" s="8"/>
      <c r="F42" s="8"/>
      <c r="G42" s="8"/>
      <c r="H42" s="8"/>
      <c r="I42" s="11" t="str">
        <f aca="false">IF($B42="","",SUM(E42:G42))</f>
        <v/>
      </c>
      <c r="J42" s="12" t="str">
        <f aca="false">IF($B42="","",I42+MIN(H42,Settings!$B$23)*Settings!$B$22)</f>
        <v/>
      </c>
      <c r="K42" s="11" t="str">
        <f aca="false">IF($B42="","",IFERROR(INDEX(Settings!$D$5:$D$9,MATCH($D42,Settings!$A$5:$A$9,0)),0))</f>
        <v/>
      </c>
      <c r="L42" s="11" t="str">
        <f aca="false">IF($B42="","",IFERROR(INDEX(Settings!$E$5:$E$9,MATCH($D42,Settings!$A$5:$A$9,0)),0))</f>
        <v/>
      </c>
      <c r="M42" s="11" t="str">
        <f aca="false">IF($B42="","",IFERROR(INDEX(Settings!$F$5:$F$9,MATCH($D42,Settings!$A$5:$A$9,0)),0))</f>
        <v/>
      </c>
      <c r="N42" s="12" t="str">
        <f aca="false">IF($B42="","",IF(M42=0,0,ROUND(MIN(J42/M42,1)*Settings!$B$16,1)))</f>
        <v/>
      </c>
      <c r="O42" s="11" t="str">
        <f aca="false">IF($B42="","",(E42&lt;K42)+(F42&lt;K42)+(G42&lt;K42))</f>
        <v/>
      </c>
      <c r="P42" s="12" t="str">
        <f aca="false">IF($B42="","",O42*Settings!$B$21)</f>
        <v/>
      </c>
      <c r="Q42" s="8"/>
      <c r="R42" s="8"/>
      <c r="S42" s="8"/>
      <c r="T42" s="12" t="str">
        <f aca="false">IF($B42="","",MAX(0,N42+MIN(Q42,Settings!$B$17)+MIN(R42,Settings!$B$18)+MIN(S42,Settings!$B$19)-P42))</f>
        <v/>
      </c>
      <c r="U42" s="13" t="str">
        <f aca="false">IF($B42="","",IF(J42&lt;L42,MIN(T42,Settings!$B$20),T42))</f>
        <v/>
      </c>
      <c r="V42" s="9" t="str">
        <f aca="false">IF($B42="","",IF($D42="","Assign role",IF(J42&lt;L42,"Below total minimum - capped",IF(O42&gt;0,"Missed sprint minimum - deducted","OK"))))</f>
        <v/>
      </c>
    </row>
    <row r="43" customFormat="false" ht="15" hidden="false" customHeight="false" outlineLevel="0" collapsed="false">
      <c r="A43" s="9" t="n">
        <f aca="false">Roster!A43</f>
        <v>39</v>
      </c>
      <c r="B43" s="9" t="str">
        <f aca="false">IF(Roster!B43="","",Roster!B43)</f>
        <v/>
      </c>
      <c r="C43" s="9" t="str">
        <f aca="false">IF($B43="","",Roster!C43)</f>
        <v/>
      </c>
      <c r="D43" s="9" t="str">
        <f aca="false">IF($B43="","",Roster!D43)</f>
        <v/>
      </c>
      <c r="E43" s="8"/>
      <c r="F43" s="8"/>
      <c r="G43" s="8"/>
      <c r="H43" s="8"/>
      <c r="I43" s="11" t="str">
        <f aca="false">IF($B43="","",SUM(E43:G43))</f>
        <v/>
      </c>
      <c r="J43" s="12" t="str">
        <f aca="false">IF($B43="","",I43+MIN(H43,Settings!$B$23)*Settings!$B$22)</f>
        <v/>
      </c>
      <c r="K43" s="11" t="str">
        <f aca="false">IF($B43="","",IFERROR(INDEX(Settings!$D$5:$D$9,MATCH($D43,Settings!$A$5:$A$9,0)),0))</f>
        <v/>
      </c>
      <c r="L43" s="11" t="str">
        <f aca="false">IF($B43="","",IFERROR(INDEX(Settings!$E$5:$E$9,MATCH($D43,Settings!$A$5:$A$9,0)),0))</f>
        <v/>
      </c>
      <c r="M43" s="11" t="str">
        <f aca="false">IF($B43="","",IFERROR(INDEX(Settings!$F$5:$F$9,MATCH($D43,Settings!$A$5:$A$9,0)),0))</f>
        <v/>
      </c>
      <c r="N43" s="12" t="str">
        <f aca="false">IF($B43="","",IF(M43=0,0,ROUND(MIN(J43/M43,1)*Settings!$B$16,1)))</f>
        <v/>
      </c>
      <c r="O43" s="11" t="str">
        <f aca="false">IF($B43="","",(E43&lt;K43)+(F43&lt;K43)+(G43&lt;K43))</f>
        <v/>
      </c>
      <c r="P43" s="12" t="str">
        <f aca="false">IF($B43="","",O43*Settings!$B$21)</f>
        <v/>
      </c>
      <c r="Q43" s="8"/>
      <c r="R43" s="8"/>
      <c r="S43" s="8"/>
      <c r="T43" s="12" t="str">
        <f aca="false">IF($B43="","",MAX(0,N43+MIN(Q43,Settings!$B$17)+MIN(R43,Settings!$B$18)+MIN(S43,Settings!$B$19)-P43))</f>
        <v/>
      </c>
      <c r="U43" s="13" t="str">
        <f aca="false">IF($B43="","",IF(J43&lt;L43,MIN(T43,Settings!$B$20),T43))</f>
        <v/>
      </c>
      <c r="V43" s="9" t="str">
        <f aca="false">IF($B43="","",IF($D43="","Assign role",IF(J43&lt;L43,"Below total minimum - capped",IF(O43&gt;0,"Missed sprint minimum - deducted","OK"))))</f>
        <v/>
      </c>
    </row>
    <row r="44" customFormat="false" ht="15" hidden="false" customHeight="false" outlineLevel="0" collapsed="false">
      <c r="A44" s="9" t="n">
        <f aca="false">Roster!A44</f>
        <v>40</v>
      </c>
      <c r="B44" s="9" t="str">
        <f aca="false">IF(Roster!B44="","",Roster!B44)</f>
        <v/>
      </c>
      <c r="C44" s="9" t="str">
        <f aca="false">IF($B44="","",Roster!C44)</f>
        <v/>
      </c>
      <c r="D44" s="9" t="str">
        <f aca="false">IF($B44="","",Roster!D44)</f>
        <v/>
      </c>
      <c r="E44" s="8"/>
      <c r="F44" s="8"/>
      <c r="G44" s="8"/>
      <c r="H44" s="8"/>
      <c r="I44" s="11" t="str">
        <f aca="false">IF($B44="","",SUM(E44:G44))</f>
        <v/>
      </c>
      <c r="J44" s="12" t="str">
        <f aca="false">IF($B44="","",I44+MIN(H44,Settings!$B$23)*Settings!$B$22)</f>
        <v/>
      </c>
      <c r="K44" s="11" t="str">
        <f aca="false">IF($B44="","",IFERROR(INDEX(Settings!$D$5:$D$9,MATCH($D44,Settings!$A$5:$A$9,0)),0))</f>
        <v/>
      </c>
      <c r="L44" s="11" t="str">
        <f aca="false">IF($B44="","",IFERROR(INDEX(Settings!$E$5:$E$9,MATCH($D44,Settings!$A$5:$A$9,0)),0))</f>
        <v/>
      </c>
      <c r="M44" s="11" t="str">
        <f aca="false">IF($B44="","",IFERROR(INDEX(Settings!$F$5:$F$9,MATCH($D44,Settings!$A$5:$A$9,0)),0))</f>
        <v/>
      </c>
      <c r="N44" s="12" t="str">
        <f aca="false">IF($B44="","",IF(M44=0,0,ROUND(MIN(J44/M44,1)*Settings!$B$16,1)))</f>
        <v/>
      </c>
      <c r="O44" s="11" t="str">
        <f aca="false">IF($B44="","",(E44&lt;K44)+(F44&lt;K44)+(G44&lt;K44))</f>
        <v/>
      </c>
      <c r="P44" s="12" t="str">
        <f aca="false">IF($B44="","",O44*Settings!$B$21)</f>
        <v/>
      </c>
      <c r="Q44" s="8"/>
      <c r="R44" s="8"/>
      <c r="S44" s="8"/>
      <c r="T44" s="12" t="str">
        <f aca="false">IF($B44="","",MAX(0,N44+MIN(Q44,Settings!$B$17)+MIN(R44,Settings!$B$18)+MIN(S44,Settings!$B$19)-P44))</f>
        <v/>
      </c>
      <c r="U44" s="13" t="str">
        <f aca="false">IF($B44="","",IF(J44&lt;L44,MIN(T44,Settings!$B$20),T44))</f>
        <v/>
      </c>
      <c r="V44" s="9" t="str">
        <f aca="false">IF($B44="","",IF($D44="","Assign role",IF(J44&lt;L44,"Below total minimum - capped",IF(O44&gt;0,"Missed sprint minimum - deducted","OK"))))</f>
        <v/>
      </c>
    </row>
  </sheetData>
  <conditionalFormatting sqref="V5:V44">
    <cfRule type="expression" priority="2" aboveAverage="0" equalAverage="0" bottom="0" percent="0" rank="0" text="" dxfId="0">
      <formula>LEFT($V5,5)="Below"</formula>
    </cfRule>
    <cfRule type="expression" priority="3" aboveAverage="0" equalAverage="0" bottom="0" percent="0" rank="0" text="" dxfId="1">
      <formula>LEFT($V5,6)="Missed"</formula>
    </cfRule>
  </conditionalFormatting>
  <dataValidations count="1">
    <dataValidation allowBlank="true" error="Enter a number 0 or higher." errorStyle="stop" errorTitle="Invalid" operator="greaterThanOrEqual" showDropDown="false" showErrorMessage="false" showInputMessage="false" sqref="E5:H44 Q5:S4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103</v>
      </c>
    </row>
    <row r="3" customFormat="false" ht="21.75" hidden="false" customHeight="true" outlineLevel="0" collapsed="false">
      <c r="A3" s="5" t="s">
        <v>66</v>
      </c>
      <c r="B3" s="5" t="s">
        <v>77</v>
      </c>
      <c r="C3" s="5" t="s">
        <v>68</v>
      </c>
      <c r="D3" s="5" t="s">
        <v>24</v>
      </c>
      <c r="E3" s="5" t="s">
        <v>104</v>
      </c>
      <c r="F3" s="5" t="s">
        <v>105</v>
      </c>
    </row>
    <row r="4" customFormat="false" ht="15" hidden="false" customHeight="false" outlineLevel="0" collapsed="false">
      <c r="A4" s="9" t="n">
        <f aca="false">Roster!A5</f>
        <v>1</v>
      </c>
      <c r="B4" s="9" t="str">
        <f aca="false">Midterm!B5</f>
        <v>Sample Student 1</v>
      </c>
      <c r="C4" s="9" t="str">
        <f aca="false">Midterm!C5</f>
        <v>Team A</v>
      </c>
      <c r="D4" s="9" t="str">
        <f aca="false">Midterm!D5</f>
        <v>Developer</v>
      </c>
      <c r="E4" s="12" t="n">
        <f aca="false">Midterm!N5</f>
        <v>93</v>
      </c>
      <c r="F4" s="12" t="n">
        <f aca="false">Final!U5</f>
        <v>95</v>
      </c>
    </row>
    <row r="5" customFormat="false" ht="15" hidden="false" customHeight="false" outlineLevel="0" collapsed="false">
      <c r="A5" s="9" t="n">
        <f aca="false">Roster!A6</f>
        <v>2</v>
      </c>
      <c r="B5" s="9" t="str">
        <f aca="false">Midterm!B6</f>
        <v>Sample Student 2</v>
      </c>
      <c r="C5" s="9" t="str">
        <f aca="false">Midterm!C6</f>
        <v>Team A</v>
      </c>
      <c r="D5" s="9" t="str">
        <f aca="false">Midterm!D6</f>
        <v>DB Admin</v>
      </c>
      <c r="E5" s="12" t="n">
        <f aca="false">Midterm!N6</f>
        <v>77</v>
      </c>
      <c r="F5" s="12" t="n">
        <f aca="false">Final!U6</f>
        <v>91.7</v>
      </c>
    </row>
    <row r="6" customFormat="false" ht="15" hidden="false" customHeight="false" outlineLevel="0" collapsed="false">
      <c r="A6" s="9" t="n">
        <f aca="false">Roster!A7</f>
        <v>3</v>
      </c>
      <c r="B6" s="9" t="str">
        <f aca="false">Midterm!B7</f>
        <v>Sample Student 3</v>
      </c>
      <c r="C6" s="9" t="str">
        <f aca="false">Midterm!C7</f>
        <v>Team A</v>
      </c>
      <c r="D6" s="9" t="str">
        <f aca="false">Midterm!D7</f>
        <v>Tester</v>
      </c>
      <c r="E6" s="12" t="n">
        <f aca="false">Midterm!N7</f>
        <v>59</v>
      </c>
      <c r="F6" s="12" t="n">
        <f aca="false">Final!U7</f>
        <v>69</v>
      </c>
    </row>
    <row r="7" customFormat="false" ht="15" hidden="false" customHeight="false" outlineLevel="0" collapsed="false">
      <c r="A7" s="9" t="n">
        <f aca="false">Roster!A8</f>
        <v>4</v>
      </c>
      <c r="B7" s="9" t="str">
        <f aca="false">Midterm!B8</f>
        <v>Sample Student 4</v>
      </c>
      <c r="C7" s="9" t="str">
        <f aca="false">Midterm!C8</f>
        <v>Team A</v>
      </c>
      <c r="D7" s="9" t="str">
        <f aca="false">Midterm!D8</f>
        <v>UI/UX Designer</v>
      </c>
      <c r="E7" s="12" t="n">
        <f aca="false">Midterm!N8</f>
        <v>95</v>
      </c>
      <c r="F7" s="12" t="n">
        <f aca="false">Final!U8</f>
        <v>90</v>
      </c>
    </row>
    <row r="8" customFormat="false" ht="15" hidden="false" customHeight="false" outlineLevel="0" collapsed="false">
      <c r="A8" s="9" t="n">
        <f aca="false">Roster!A9</f>
        <v>5</v>
      </c>
      <c r="B8" s="9" t="str">
        <f aca="false">Midterm!B9</f>
        <v>Sample Student 5</v>
      </c>
      <c r="C8" s="9" t="str">
        <f aca="false">Midterm!C9</f>
        <v>Team A</v>
      </c>
      <c r="D8" s="9" t="str">
        <f aca="false">Midterm!D9</f>
        <v>Scrum Master</v>
      </c>
      <c r="E8" s="12" t="n">
        <f aca="false">Midterm!N9</f>
        <v>94</v>
      </c>
      <c r="F8" s="12" t="n">
        <f aca="false">Final!U9</f>
        <v>80</v>
      </c>
    </row>
    <row r="9" customFormat="false" ht="15" hidden="false" customHeight="false" outlineLevel="0" collapsed="false">
      <c r="A9" s="9" t="n">
        <f aca="false">Roster!A10</f>
        <v>6</v>
      </c>
      <c r="B9" s="9" t="str">
        <f aca="false">Midterm!B10</f>
        <v/>
      </c>
      <c r="C9" s="9" t="str">
        <f aca="false">Midterm!C10</f>
        <v/>
      </c>
      <c r="D9" s="9" t="str">
        <f aca="false">Midterm!D10</f>
        <v/>
      </c>
      <c r="E9" s="12" t="str">
        <f aca="false">Midterm!N10</f>
        <v/>
      </c>
      <c r="F9" s="12" t="str">
        <f aca="false">Final!U10</f>
        <v/>
      </c>
    </row>
    <row r="10" customFormat="false" ht="15" hidden="false" customHeight="false" outlineLevel="0" collapsed="false">
      <c r="A10" s="9" t="n">
        <f aca="false">Roster!A11</f>
        <v>7</v>
      </c>
      <c r="B10" s="9" t="str">
        <f aca="false">Midterm!B11</f>
        <v/>
      </c>
      <c r="C10" s="9" t="str">
        <f aca="false">Midterm!C11</f>
        <v/>
      </c>
      <c r="D10" s="9" t="str">
        <f aca="false">Midterm!D11</f>
        <v/>
      </c>
      <c r="E10" s="12" t="str">
        <f aca="false">Midterm!N11</f>
        <v/>
      </c>
      <c r="F10" s="12" t="str">
        <f aca="false">Final!U11</f>
        <v/>
      </c>
    </row>
    <row r="11" customFormat="false" ht="15" hidden="false" customHeight="false" outlineLevel="0" collapsed="false">
      <c r="A11" s="9" t="n">
        <f aca="false">Roster!A12</f>
        <v>8</v>
      </c>
      <c r="B11" s="9" t="str">
        <f aca="false">Midterm!B12</f>
        <v/>
      </c>
      <c r="C11" s="9" t="str">
        <f aca="false">Midterm!C12</f>
        <v/>
      </c>
      <c r="D11" s="9" t="str">
        <f aca="false">Midterm!D12</f>
        <v/>
      </c>
      <c r="E11" s="12" t="str">
        <f aca="false">Midterm!N12</f>
        <v/>
      </c>
      <c r="F11" s="12" t="str">
        <f aca="false">Final!U12</f>
        <v/>
      </c>
    </row>
    <row r="12" customFormat="false" ht="15" hidden="false" customHeight="false" outlineLevel="0" collapsed="false">
      <c r="A12" s="9" t="n">
        <f aca="false">Roster!A13</f>
        <v>9</v>
      </c>
      <c r="B12" s="9" t="str">
        <f aca="false">Midterm!B13</f>
        <v/>
      </c>
      <c r="C12" s="9" t="str">
        <f aca="false">Midterm!C13</f>
        <v/>
      </c>
      <c r="D12" s="9" t="str">
        <f aca="false">Midterm!D13</f>
        <v/>
      </c>
      <c r="E12" s="12" t="str">
        <f aca="false">Midterm!N13</f>
        <v/>
      </c>
      <c r="F12" s="12" t="str">
        <f aca="false">Final!U13</f>
        <v/>
      </c>
    </row>
    <row r="13" customFormat="false" ht="15" hidden="false" customHeight="false" outlineLevel="0" collapsed="false">
      <c r="A13" s="9" t="n">
        <f aca="false">Roster!A14</f>
        <v>10</v>
      </c>
      <c r="B13" s="9" t="str">
        <f aca="false">Midterm!B14</f>
        <v/>
      </c>
      <c r="C13" s="9" t="str">
        <f aca="false">Midterm!C14</f>
        <v/>
      </c>
      <c r="D13" s="9" t="str">
        <f aca="false">Midterm!D14</f>
        <v/>
      </c>
      <c r="E13" s="12" t="str">
        <f aca="false">Midterm!N14</f>
        <v/>
      </c>
      <c r="F13" s="12" t="str">
        <f aca="false">Final!U14</f>
        <v/>
      </c>
    </row>
    <row r="14" customFormat="false" ht="15" hidden="false" customHeight="false" outlineLevel="0" collapsed="false">
      <c r="A14" s="9" t="n">
        <f aca="false">Roster!A15</f>
        <v>11</v>
      </c>
      <c r="B14" s="9" t="str">
        <f aca="false">Midterm!B15</f>
        <v/>
      </c>
      <c r="C14" s="9" t="str">
        <f aca="false">Midterm!C15</f>
        <v/>
      </c>
      <c r="D14" s="9" t="str">
        <f aca="false">Midterm!D15</f>
        <v/>
      </c>
      <c r="E14" s="12" t="str">
        <f aca="false">Midterm!N15</f>
        <v/>
      </c>
      <c r="F14" s="12" t="str">
        <f aca="false">Final!U15</f>
        <v/>
      </c>
    </row>
    <row r="15" customFormat="false" ht="15" hidden="false" customHeight="false" outlineLevel="0" collapsed="false">
      <c r="A15" s="9" t="n">
        <f aca="false">Roster!A16</f>
        <v>12</v>
      </c>
      <c r="B15" s="9" t="str">
        <f aca="false">Midterm!B16</f>
        <v/>
      </c>
      <c r="C15" s="9" t="str">
        <f aca="false">Midterm!C16</f>
        <v/>
      </c>
      <c r="D15" s="9" t="str">
        <f aca="false">Midterm!D16</f>
        <v/>
      </c>
      <c r="E15" s="12" t="str">
        <f aca="false">Midterm!N16</f>
        <v/>
      </c>
      <c r="F15" s="12" t="str">
        <f aca="false">Final!U16</f>
        <v/>
      </c>
    </row>
    <row r="16" customFormat="false" ht="15" hidden="false" customHeight="false" outlineLevel="0" collapsed="false">
      <c r="A16" s="9" t="n">
        <f aca="false">Roster!A17</f>
        <v>13</v>
      </c>
      <c r="B16" s="9" t="str">
        <f aca="false">Midterm!B17</f>
        <v/>
      </c>
      <c r="C16" s="9" t="str">
        <f aca="false">Midterm!C17</f>
        <v/>
      </c>
      <c r="D16" s="9" t="str">
        <f aca="false">Midterm!D17</f>
        <v/>
      </c>
      <c r="E16" s="12" t="str">
        <f aca="false">Midterm!N17</f>
        <v/>
      </c>
      <c r="F16" s="12" t="str">
        <f aca="false">Final!U17</f>
        <v/>
      </c>
    </row>
    <row r="17" customFormat="false" ht="15" hidden="false" customHeight="false" outlineLevel="0" collapsed="false">
      <c r="A17" s="9" t="n">
        <f aca="false">Roster!A18</f>
        <v>14</v>
      </c>
      <c r="B17" s="9" t="str">
        <f aca="false">Midterm!B18</f>
        <v/>
      </c>
      <c r="C17" s="9" t="str">
        <f aca="false">Midterm!C18</f>
        <v/>
      </c>
      <c r="D17" s="9" t="str">
        <f aca="false">Midterm!D18</f>
        <v/>
      </c>
      <c r="E17" s="12" t="str">
        <f aca="false">Midterm!N18</f>
        <v/>
      </c>
      <c r="F17" s="12" t="str">
        <f aca="false">Final!U18</f>
        <v/>
      </c>
    </row>
    <row r="18" customFormat="false" ht="15" hidden="false" customHeight="false" outlineLevel="0" collapsed="false">
      <c r="A18" s="9" t="n">
        <f aca="false">Roster!A19</f>
        <v>15</v>
      </c>
      <c r="B18" s="9" t="str">
        <f aca="false">Midterm!B19</f>
        <v/>
      </c>
      <c r="C18" s="9" t="str">
        <f aca="false">Midterm!C19</f>
        <v/>
      </c>
      <c r="D18" s="9" t="str">
        <f aca="false">Midterm!D19</f>
        <v/>
      </c>
      <c r="E18" s="12" t="str">
        <f aca="false">Midterm!N19</f>
        <v/>
      </c>
      <c r="F18" s="12" t="str">
        <f aca="false">Final!U19</f>
        <v/>
      </c>
    </row>
    <row r="19" customFormat="false" ht="15" hidden="false" customHeight="false" outlineLevel="0" collapsed="false">
      <c r="A19" s="9" t="n">
        <f aca="false">Roster!A20</f>
        <v>16</v>
      </c>
      <c r="B19" s="9" t="str">
        <f aca="false">Midterm!B20</f>
        <v/>
      </c>
      <c r="C19" s="9" t="str">
        <f aca="false">Midterm!C20</f>
        <v/>
      </c>
      <c r="D19" s="9" t="str">
        <f aca="false">Midterm!D20</f>
        <v/>
      </c>
      <c r="E19" s="12" t="str">
        <f aca="false">Midterm!N20</f>
        <v/>
      </c>
      <c r="F19" s="12" t="str">
        <f aca="false">Final!U20</f>
        <v/>
      </c>
    </row>
    <row r="20" customFormat="false" ht="15" hidden="false" customHeight="false" outlineLevel="0" collapsed="false">
      <c r="A20" s="9" t="n">
        <f aca="false">Roster!A21</f>
        <v>17</v>
      </c>
      <c r="B20" s="9" t="str">
        <f aca="false">Midterm!B21</f>
        <v/>
      </c>
      <c r="C20" s="9" t="str">
        <f aca="false">Midterm!C21</f>
        <v/>
      </c>
      <c r="D20" s="9" t="str">
        <f aca="false">Midterm!D21</f>
        <v/>
      </c>
      <c r="E20" s="12" t="str">
        <f aca="false">Midterm!N21</f>
        <v/>
      </c>
      <c r="F20" s="12" t="str">
        <f aca="false">Final!U21</f>
        <v/>
      </c>
    </row>
    <row r="21" customFormat="false" ht="15" hidden="false" customHeight="false" outlineLevel="0" collapsed="false">
      <c r="A21" s="9" t="n">
        <f aca="false">Roster!A22</f>
        <v>18</v>
      </c>
      <c r="B21" s="9" t="str">
        <f aca="false">Midterm!B22</f>
        <v/>
      </c>
      <c r="C21" s="9" t="str">
        <f aca="false">Midterm!C22</f>
        <v/>
      </c>
      <c r="D21" s="9" t="str">
        <f aca="false">Midterm!D22</f>
        <v/>
      </c>
      <c r="E21" s="12" t="str">
        <f aca="false">Midterm!N22</f>
        <v/>
      </c>
      <c r="F21" s="12" t="str">
        <f aca="false">Final!U22</f>
        <v/>
      </c>
    </row>
    <row r="22" customFormat="false" ht="15" hidden="false" customHeight="false" outlineLevel="0" collapsed="false">
      <c r="A22" s="9" t="n">
        <f aca="false">Roster!A23</f>
        <v>19</v>
      </c>
      <c r="B22" s="9" t="str">
        <f aca="false">Midterm!B23</f>
        <v/>
      </c>
      <c r="C22" s="9" t="str">
        <f aca="false">Midterm!C23</f>
        <v/>
      </c>
      <c r="D22" s="9" t="str">
        <f aca="false">Midterm!D23</f>
        <v/>
      </c>
      <c r="E22" s="12" t="str">
        <f aca="false">Midterm!N23</f>
        <v/>
      </c>
      <c r="F22" s="12" t="str">
        <f aca="false">Final!U23</f>
        <v/>
      </c>
    </row>
    <row r="23" customFormat="false" ht="15" hidden="false" customHeight="false" outlineLevel="0" collapsed="false">
      <c r="A23" s="9" t="n">
        <f aca="false">Roster!A24</f>
        <v>20</v>
      </c>
      <c r="B23" s="9" t="str">
        <f aca="false">Midterm!B24</f>
        <v/>
      </c>
      <c r="C23" s="9" t="str">
        <f aca="false">Midterm!C24</f>
        <v/>
      </c>
      <c r="D23" s="9" t="str">
        <f aca="false">Midterm!D24</f>
        <v/>
      </c>
      <c r="E23" s="12" t="str">
        <f aca="false">Midterm!N24</f>
        <v/>
      </c>
      <c r="F23" s="12" t="str">
        <f aca="false">Final!U24</f>
        <v/>
      </c>
    </row>
    <row r="24" customFormat="false" ht="15" hidden="false" customHeight="false" outlineLevel="0" collapsed="false">
      <c r="A24" s="9" t="n">
        <f aca="false">Roster!A25</f>
        <v>21</v>
      </c>
      <c r="B24" s="9" t="str">
        <f aca="false">Midterm!B25</f>
        <v/>
      </c>
      <c r="C24" s="9" t="str">
        <f aca="false">Midterm!C25</f>
        <v/>
      </c>
      <c r="D24" s="9" t="str">
        <f aca="false">Midterm!D25</f>
        <v/>
      </c>
      <c r="E24" s="12" t="str">
        <f aca="false">Midterm!N25</f>
        <v/>
      </c>
      <c r="F24" s="12" t="str">
        <f aca="false">Final!U25</f>
        <v/>
      </c>
    </row>
    <row r="25" customFormat="false" ht="15" hidden="false" customHeight="false" outlineLevel="0" collapsed="false">
      <c r="A25" s="9" t="n">
        <f aca="false">Roster!A26</f>
        <v>22</v>
      </c>
      <c r="B25" s="9" t="str">
        <f aca="false">Midterm!B26</f>
        <v/>
      </c>
      <c r="C25" s="9" t="str">
        <f aca="false">Midterm!C26</f>
        <v/>
      </c>
      <c r="D25" s="9" t="str">
        <f aca="false">Midterm!D26</f>
        <v/>
      </c>
      <c r="E25" s="12" t="str">
        <f aca="false">Midterm!N26</f>
        <v/>
      </c>
      <c r="F25" s="12" t="str">
        <f aca="false">Final!U26</f>
        <v/>
      </c>
    </row>
    <row r="26" customFormat="false" ht="15" hidden="false" customHeight="false" outlineLevel="0" collapsed="false">
      <c r="A26" s="9" t="n">
        <f aca="false">Roster!A27</f>
        <v>23</v>
      </c>
      <c r="B26" s="9" t="str">
        <f aca="false">Midterm!B27</f>
        <v/>
      </c>
      <c r="C26" s="9" t="str">
        <f aca="false">Midterm!C27</f>
        <v/>
      </c>
      <c r="D26" s="9" t="str">
        <f aca="false">Midterm!D27</f>
        <v/>
      </c>
      <c r="E26" s="12" t="str">
        <f aca="false">Midterm!N27</f>
        <v/>
      </c>
      <c r="F26" s="12" t="str">
        <f aca="false">Final!U27</f>
        <v/>
      </c>
    </row>
    <row r="27" customFormat="false" ht="15" hidden="false" customHeight="false" outlineLevel="0" collapsed="false">
      <c r="A27" s="9" t="n">
        <f aca="false">Roster!A28</f>
        <v>24</v>
      </c>
      <c r="B27" s="9" t="str">
        <f aca="false">Midterm!B28</f>
        <v/>
      </c>
      <c r="C27" s="9" t="str">
        <f aca="false">Midterm!C28</f>
        <v/>
      </c>
      <c r="D27" s="9" t="str">
        <f aca="false">Midterm!D28</f>
        <v/>
      </c>
      <c r="E27" s="12" t="str">
        <f aca="false">Midterm!N28</f>
        <v/>
      </c>
      <c r="F27" s="12" t="str">
        <f aca="false">Final!U28</f>
        <v/>
      </c>
    </row>
    <row r="28" customFormat="false" ht="15" hidden="false" customHeight="false" outlineLevel="0" collapsed="false">
      <c r="A28" s="9" t="n">
        <f aca="false">Roster!A29</f>
        <v>25</v>
      </c>
      <c r="B28" s="9" t="str">
        <f aca="false">Midterm!B29</f>
        <v/>
      </c>
      <c r="C28" s="9" t="str">
        <f aca="false">Midterm!C29</f>
        <v/>
      </c>
      <c r="D28" s="9" t="str">
        <f aca="false">Midterm!D29</f>
        <v/>
      </c>
      <c r="E28" s="12" t="str">
        <f aca="false">Midterm!N29</f>
        <v/>
      </c>
      <c r="F28" s="12" t="str">
        <f aca="false">Final!U29</f>
        <v/>
      </c>
    </row>
    <row r="29" customFormat="false" ht="15" hidden="false" customHeight="false" outlineLevel="0" collapsed="false">
      <c r="A29" s="9" t="n">
        <f aca="false">Roster!A30</f>
        <v>26</v>
      </c>
      <c r="B29" s="9" t="str">
        <f aca="false">Midterm!B30</f>
        <v/>
      </c>
      <c r="C29" s="9" t="str">
        <f aca="false">Midterm!C30</f>
        <v/>
      </c>
      <c r="D29" s="9" t="str">
        <f aca="false">Midterm!D30</f>
        <v/>
      </c>
      <c r="E29" s="12" t="str">
        <f aca="false">Midterm!N30</f>
        <v/>
      </c>
      <c r="F29" s="12" t="str">
        <f aca="false">Final!U30</f>
        <v/>
      </c>
    </row>
    <row r="30" customFormat="false" ht="15" hidden="false" customHeight="false" outlineLevel="0" collapsed="false">
      <c r="A30" s="9" t="n">
        <f aca="false">Roster!A31</f>
        <v>27</v>
      </c>
      <c r="B30" s="9" t="str">
        <f aca="false">Midterm!B31</f>
        <v/>
      </c>
      <c r="C30" s="9" t="str">
        <f aca="false">Midterm!C31</f>
        <v/>
      </c>
      <c r="D30" s="9" t="str">
        <f aca="false">Midterm!D31</f>
        <v/>
      </c>
      <c r="E30" s="12" t="str">
        <f aca="false">Midterm!N31</f>
        <v/>
      </c>
      <c r="F30" s="12" t="str">
        <f aca="false">Final!U31</f>
        <v/>
      </c>
    </row>
    <row r="31" customFormat="false" ht="15" hidden="false" customHeight="false" outlineLevel="0" collapsed="false">
      <c r="A31" s="9" t="n">
        <f aca="false">Roster!A32</f>
        <v>28</v>
      </c>
      <c r="B31" s="9" t="str">
        <f aca="false">Midterm!B32</f>
        <v/>
      </c>
      <c r="C31" s="9" t="str">
        <f aca="false">Midterm!C32</f>
        <v/>
      </c>
      <c r="D31" s="9" t="str">
        <f aca="false">Midterm!D32</f>
        <v/>
      </c>
      <c r="E31" s="12" t="str">
        <f aca="false">Midterm!N32</f>
        <v/>
      </c>
      <c r="F31" s="12" t="str">
        <f aca="false">Final!U32</f>
        <v/>
      </c>
    </row>
    <row r="32" customFormat="false" ht="15" hidden="false" customHeight="false" outlineLevel="0" collapsed="false">
      <c r="A32" s="9" t="n">
        <f aca="false">Roster!A33</f>
        <v>29</v>
      </c>
      <c r="B32" s="9" t="str">
        <f aca="false">Midterm!B33</f>
        <v/>
      </c>
      <c r="C32" s="9" t="str">
        <f aca="false">Midterm!C33</f>
        <v/>
      </c>
      <c r="D32" s="9" t="str">
        <f aca="false">Midterm!D33</f>
        <v/>
      </c>
      <c r="E32" s="12" t="str">
        <f aca="false">Midterm!N33</f>
        <v/>
      </c>
      <c r="F32" s="12" t="str">
        <f aca="false">Final!U33</f>
        <v/>
      </c>
    </row>
    <row r="33" customFormat="false" ht="15" hidden="false" customHeight="false" outlineLevel="0" collapsed="false">
      <c r="A33" s="9" t="n">
        <f aca="false">Roster!A34</f>
        <v>30</v>
      </c>
      <c r="B33" s="9" t="str">
        <f aca="false">Midterm!B34</f>
        <v/>
      </c>
      <c r="C33" s="9" t="str">
        <f aca="false">Midterm!C34</f>
        <v/>
      </c>
      <c r="D33" s="9" t="str">
        <f aca="false">Midterm!D34</f>
        <v/>
      </c>
      <c r="E33" s="12" t="str">
        <f aca="false">Midterm!N34</f>
        <v/>
      </c>
      <c r="F33" s="12" t="str">
        <f aca="false">Final!U34</f>
        <v/>
      </c>
    </row>
    <row r="34" customFormat="false" ht="15" hidden="false" customHeight="false" outlineLevel="0" collapsed="false">
      <c r="A34" s="9" t="n">
        <f aca="false">Roster!A35</f>
        <v>31</v>
      </c>
      <c r="B34" s="9" t="str">
        <f aca="false">Midterm!B35</f>
        <v/>
      </c>
      <c r="C34" s="9" t="str">
        <f aca="false">Midterm!C35</f>
        <v/>
      </c>
      <c r="D34" s="9" t="str">
        <f aca="false">Midterm!D35</f>
        <v/>
      </c>
      <c r="E34" s="12" t="str">
        <f aca="false">Midterm!N35</f>
        <v/>
      </c>
      <c r="F34" s="12" t="str">
        <f aca="false">Final!U35</f>
        <v/>
      </c>
    </row>
    <row r="35" customFormat="false" ht="15" hidden="false" customHeight="false" outlineLevel="0" collapsed="false">
      <c r="A35" s="9" t="n">
        <f aca="false">Roster!A36</f>
        <v>32</v>
      </c>
      <c r="B35" s="9" t="str">
        <f aca="false">Midterm!B36</f>
        <v/>
      </c>
      <c r="C35" s="9" t="str">
        <f aca="false">Midterm!C36</f>
        <v/>
      </c>
      <c r="D35" s="9" t="str">
        <f aca="false">Midterm!D36</f>
        <v/>
      </c>
      <c r="E35" s="12" t="str">
        <f aca="false">Midterm!N36</f>
        <v/>
      </c>
      <c r="F35" s="12" t="str">
        <f aca="false">Final!U36</f>
        <v/>
      </c>
    </row>
    <row r="36" customFormat="false" ht="15" hidden="false" customHeight="false" outlineLevel="0" collapsed="false">
      <c r="A36" s="9" t="n">
        <f aca="false">Roster!A37</f>
        <v>33</v>
      </c>
      <c r="B36" s="9" t="str">
        <f aca="false">Midterm!B37</f>
        <v/>
      </c>
      <c r="C36" s="9" t="str">
        <f aca="false">Midterm!C37</f>
        <v/>
      </c>
      <c r="D36" s="9" t="str">
        <f aca="false">Midterm!D37</f>
        <v/>
      </c>
      <c r="E36" s="12" t="str">
        <f aca="false">Midterm!N37</f>
        <v/>
      </c>
      <c r="F36" s="12" t="str">
        <f aca="false">Final!U37</f>
        <v/>
      </c>
    </row>
    <row r="37" customFormat="false" ht="15" hidden="false" customHeight="false" outlineLevel="0" collapsed="false">
      <c r="A37" s="9" t="n">
        <f aca="false">Roster!A38</f>
        <v>34</v>
      </c>
      <c r="B37" s="9" t="str">
        <f aca="false">Midterm!B38</f>
        <v/>
      </c>
      <c r="C37" s="9" t="str">
        <f aca="false">Midterm!C38</f>
        <v/>
      </c>
      <c r="D37" s="9" t="str">
        <f aca="false">Midterm!D38</f>
        <v/>
      </c>
      <c r="E37" s="12" t="str">
        <f aca="false">Midterm!N38</f>
        <v/>
      </c>
      <c r="F37" s="12" t="str">
        <f aca="false">Final!U38</f>
        <v/>
      </c>
    </row>
    <row r="38" customFormat="false" ht="15" hidden="false" customHeight="false" outlineLevel="0" collapsed="false">
      <c r="A38" s="9" t="n">
        <f aca="false">Roster!A39</f>
        <v>35</v>
      </c>
      <c r="B38" s="9" t="str">
        <f aca="false">Midterm!B39</f>
        <v/>
      </c>
      <c r="C38" s="9" t="str">
        <f aca="false">Midterm!C39</f>
        <v/>
      </c>
      <c r="D38" s="9" t="str">
        <f aca="false">Midterm!D39</f>
        <v/>
      </c>
      <c r="E38" s="12" t="str">
        <f aca="false">Midterm!N39</f>
        <v/>
      </c>
      <c r="F38" s="12" t="str">
        <f aca="false">Final!U39</f>
        <v/>
      </c>
    </row>
    <row r="39" customFormat="false" ht="15" hidden="false" customHeight="false" outlineLevel="0" collapsed="false">
      <c r="A39" s="9" t="n">
        <f aca="false">Roster!A40</f>
        <v>36</v>
      </c>
      <c r="B39" s="9" t="str">
        <f aca="false">Midterm!B40</f>
        <v/>
      </c>
      <c r="C39" s="9" t="str">
        <f aca="false">Midterm!C40</f>
        <v/>
      </c>
      <c r="D39" s="9" t="str">
        <f aca="false">Midterm!D40</f>
        <v/>
      </c>
      <c r="E39" s="12" t="str">
        <f aca="false">Midterm!N40</f>
        <v/>
      </c>
      <c r="F39" s="12" t="str">
        <f aca="false">Final!U40</f>
        <v/>
      </c>
    </row>
    <row r="40" customFormat="false" ht="15" hidden="false" customHeight="false" outlineLevel="0" collapsed="false">
      <c r="A40" s="9" t="n">
        <f aca="false">Roster!A41</f>
        <v>37</v>
      </c>
      <c r="B40" s="9" t="str">
        <f aca="false">Midterm!B41</f>
        <v/>
      </c>
      <c r="C40" s="9" t="str">
        <f aca="false">Midterm!C41</f>
        <v/>
      </c>
      <c r="D40" s="9" t="str">
        <f aca="false">Midterm!D41</f>
        <v/>
      </c>
      <c r="E40" s="12" t="str">
        <f aca="false">Midterm!N41</f>
        <v/>
      </c>
      <c r="F40" s="12" t="str">
        <f aca="false">Final!U41</f>
        <v/>
      </c>
    </row>
    <row r="41" customFormat="false" ht="15" hidden="false" customHeight="false" outlineLevel="0" collapsed="false">
      <c r="A41" s="9" t="n">
        <f aca="false">Roster!A42</f>
        <v>38</v>
      </c>
      <c r="B41" s="9" t="str">
        <f aca="false">Midterm!B42</f>
        <v/>
      </c>
      <c r="C41" s="9" t="str">
        <f aca="false">Midterm!C42</f>
        <v/>
      </c>
      <c r="D41" s="9" t="str">
        <f aca="false">Midterm!D42</f>
        <v/>
      </c>
      <c r="E41" s="12" t="str">
        <f aca="false">Midterm!N42</f>
        <v/>
      </c>
      <c r="F41" s="12" t="str">
        <f aca="false">Final!U42</f>
        <v/>
      </c>
    </row>
    <row r="42" customFormat="false" ht="15" hidden="false" customHeight="false" outlineLevel="0" collapsed="false">
      <c r="A42" s="9" t="n">
        <f aca="false">Roster!A43</f>
        <v>39</v>
      </c>
      <c r="B42" s="9" t="str">
        <f aca="false">Midterm!B43</f>
        <v/>
      </c>
      <c r="C42" s="9" t="str">
        <f aca="false">Midterm!C43</f>
        <v/>
      </c>
      <c r="D42" s="9" t="str">
        <f aca="false">Midterm!D43</f>
        <v/>
      </c>
      <c r="E42" s="12" t="str">
        <f aca="false">Midterm!N43</f>
        <v/>
      </c>
      <c r="F42" s="12" t="str">
        <f aca="false">Final!U43</f>
        <v/>
      </c>
    </row>
    <row r="43" customFormat="false" ht="15" hidden="false" customHeight="false" outlineLevel="0" collapsed="false">
      <c r="A43" s="9" t="n">
        <f aca="false">Roster!A44</f>
        <v>40</v>
      </c>
      <c r="B43" s="9" t="str">
        <f aca="false">Midterm!B44</f>
        <v/>
      </c>
      <c r="C43" s="9" t="str">
        <f aca="false">Midterm!C44</f>
        <v/>
      </c>
      <c r="D43" s="9" t="str">
        <f aca="false">Midterm!D44</f>
        <v/>
      </c>
      <c r="E43" s="12" t="str">
        <f aca="false">Midterm!N44</f>
        <v/>
      </c>
      <c r="F43" s="12" t="str">
        <f aca="false">Final!U44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2026-10-12T04:11:55Z</dcterms:created>
  <dc:creator>openpyxl</dc:creator>
  <dc:description/>
  <dc:language>en-US</dc:language>
  <cp:lastModifiedBy/>
  <dcterms:modified xsi:type="dcterms:W3CDTF">2026-10-12T04:11:55Z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